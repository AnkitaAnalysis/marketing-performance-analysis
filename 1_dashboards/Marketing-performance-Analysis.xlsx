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pivotTables/pivotTable36.xml" ContentType="application/vnd.openxmlformats-officedocument.spreadsheetml.pivotTable+xml"/>
  <Override PartName="/xl/pivotTables/pivotTable37.xml" ContentType="application/vnd.openxmlformats-officedocument.spreadsheetml.pivotTable+xml"/>
  <Override PartName="/xl/pivotTables/pivotTable38.xml" ContentType="application/vnd.openxmlformats-officedocument.spreadsheetml.pivotTable+xml"/>
  <Override PartName="/xl/pivotTables/pivotTable39.xml" ContentType="application/vnd.openxmlformats-officedocument.spreadsheetml.pivotTable+xml"/>
  <Override PartName="/xl/pivotTables/pivotTable40.xml" ContentType="application/vnd.openxmlformats-officedocument.spreadsheetml.pivotTable+xml"/>
  <Override PartName="/xl/pivotTables/pivotTable41.xml" ContentType="application/vnd.openxmlformats-officedocument.spreadsheetml.pivotTable+xml"/>
  <Override PartName="/xl/pivotTables/pivotTable42.xml" ContentType="application/vnd.openxmlformats-officedocument.spreadsheetml.pivotTable+xml"/>
  <Override PartName="/xl/pivotTables/pivotTable43.xml" ContentType="application/vnd.openxmlformats-officedocument.spreadsheetml.pivotTable+xml"/>
  <Override PartName="/xl/pivotTables/pivotTable44.xml" ContentType="application/vnd.openxmlformats-officedocument.spreadsheetml.pivotTable+xml"/>
  <Override PartName="/xl/pivotTables/pivotTable45.xml" ContentType="application/vnd.openxmlformats-officedocument.spreadsheetml.pivotTable+xml"/>
  <Override PartName="/xl/pivotTables/pivotTable4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3.xml" ContentType="application/vnd.openxmlformats-officedocument.drawing+xml"/>
  <Override PartName="/xl/slicers/slicer2.xml" ContentType="application/vnd.ms-excel.slicer+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4.xml" ContentType="application/vnd.openxmlformats-officedocument.drawing+xml"/>
  <Override PartName="/xl/slicers/slicer3.xml" ContentType="application/vnd.ms-excel.slicer+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5.xml" ContentType="application/vnd.openxmlformats-officedocument.drawing+xml"/>
  <Override PartName="/xl/slicers/slicer4.xml" ContentType="application/vnd.ms-excel.slicer+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6.xml" ContentType="application/vnd.openxmlformats-officedocument.drawing+xml"/>
  <Override PartName="/xl/slicers/slicer5.xml" ContentType="application/vnd.ms-excel.slicer+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drawings/drawing7.xml" ContentType="application/vnd.openxmlformats-officedocument.drawing+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https://d.docs.live.net/27c2baadcee0bc10/Desktop/GitHub-Marketing Project Files/"/>
    </mc:Choice>
  </mc:AlternateContent>
  <xr:revisionPtr revIDLastSave="5" documentId="8_{D0360B06-82C5-4015-B97D-A21503D6F6C1}" xr6:coauthVersionLast="47" xr6:coauthVersionMax="47" xr10:uidLastSave="{156E354A-3444-4A6A-8ACD-F835705F9645}"/>
  <bookViews>
    <workbookView xWindow="-108" yWindow="-108" windowWidth="23256" windowHeight="13176" firstSheet="4" activeTab="4" xr2:uid="{0DBAB27D-7213-4680-AA2C-0FB3D88DE2CC}"/>
  </bookViews>
  <sheets>
    <sheet name="Dataset" sheetId="1" r:id="rId1"/>
    <sheet name="Planning" sheetId="2" r:id="rId2"/>
    <sheet name="Pivots &amp; KPIs" sheetId="5" r:id="rId3"/>
    <sheet name="IMP. Before Dash View" sheetId="9" r:id="rId4"/>
    <sheet name="Executive's Overview Dash. " sheetId="3" r:id="rId5"/>
    <sheet name="Regional-Performance" sheetId="6" r:id="rId6"/>
    <sheet name="Product-Performance" sheetId="7" r:id="rId7"/>
    <sheet name="Channel-Performace" sheetId="8" r:id="rId8"/>
    <sheet name="Story-Lines" sheetId="4" r:id="rId9"/>
  </sheets>
  <definedNames>
    <definedName name="Slicer_Channel">#N/A</definedName>
    <definedName name="Slicer_Product">#N/A</definedName>
    <definedName name="Slicer_Quarter">#N/A</definedName>
    <definedName name="Slicer_Region">#N/A</definedName>
  </definedNames>
  <calcPr calcId="181029"/>
  <pivotCaches>
    <pivotCache cacheId="65"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11" i="5" l="1"/>
  <c r="M11" i="5"/>
  <c r="C4" i="5"/>
  <c r="N7" i="5"/>
  <c r="U122" i="5"/>
  <c r="M7" i="5"/>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R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G4" i="5"/>
  <c r="Q4" i="5"/>
  <c r="L4" i="5"/>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F73" i="5"/>
  <c r="F74" i="5"/>
  <c r="F75" i="5"/>
  <c r="F72" i="5"/>
  <c r="V3" i="1"/>
  <c r="V2"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2" i="1"/>
  <c r="K39" i="5"/>
  <c r="C74" i="5"/>
  <c r="B69" i="5"/>
  <c r="Q31" i="5"/>
  <c r="C77" i="5"/>
  <c r="K33" i="5"/>
  <c r="A77" i="5"/>
  <c r="A76" i="5"/>
  <c r="C75" i="5"/>
  <c r="K56" i="5"/>
  <c r="O3" i="5"/>
  <c r="E40" i="5"/>
  <c r="J3" i="5"/>
  <c r="C76" i="5"/>
  <c r="B41" i="5"/>
  <c r="C73" i="5"/>
  <c r="E57" i="5"/>
  <c r="K41" i="5"/>
  <c r="T34" i="5"/>
  <c r="B40" i="5"/>
  <c r="K40" i="5"/>
  <c r="H56" i="5"/>
  <c r="E39" i="5"/>
  <c r="T31" i="5"/>
  <c r="N33" i="5"/>
  <c r="N34" i="5"/>
  <c r="B70" i="5"/>
  <c r="A4" i="5"/>
  <c r="E3" i="5"/>
  <c r="B39" i="5"/>
  <c r="K59" i="5"/>
  <c r="H42" i="5"/>
  <c r="T33" i="5"/>
  <c r="B57" i="5"/>
  <c r="Q32" i="5"/>
  <c r="H58" i="5"/>
  <c r="N31" i="5"/>
  <c r="A69" i="5"/>
  <c r="N32" i="5"/>
  <c r="K34" i="5"/>
  <c r="E42" i="5"/>
  <c r="E59" i="5"/>
  <c r="B42" i="5"/>
  <c r="Q34" i="5"/>
  <c r="A78" i="5"/>
  <c r="B56" i="5"/>
  <c r="H40" i="5"/>
  <c r="A74" i="5"/>
  <c r="K31" i="5"/>
  <c r="K57" i="5"/>
  <c r="A75" i="5"/>
  <c r="H57" i="5"/>
  <c r="B58" i="5"/>
  <c r="H39" i="5"/>
  <c r="H41" i="5"/>
  <c r="Q33" i="5"/>
  <c r="A73" i="5"/>
  <c r="A71" i="5"/>
  <c r="K42" i="5"/>
  <c r="E41" i="5"/>
  <c r="H59" i="5"/>
  <c r="E58" i="5"/>
  <c r="K58" i="5"/>
  <c r="E56" i="5"/>
  <c r="T32" i="5"/>
  <c r="B59" i="5"/>
  <c r="K32" i="5"/>
  <c r="C69" i="5" l="1"/>
</calcChain>
</file>

<file path=xl/sharedStrings.xml><?xml version="1.0" encoding="utf-8"?>
<sst xmlns="http://schemas.openxmlformats.org/spreadsheetml/2006/main" count="1110" uniqueCount="317">
  <si>
    <t>Date</t>
  </si>
  <si>
    <t>Region</t>
  </si>
  <si>
    <t>Product</t>
  </si>
  <si>
    <t>Channel</t>
  </si>
  <si>
    <t>Quarter</t>
  </si>
  <si>
    <t>Spent</t>
  </si>
  <si>
    <t>Impressions-</t>
  </si>
  <si>
    <t>Clicks-</t>
  </si>
  <si>
    <t>Conversions-</t>
  </si>
  <si>
    <t>Revenue-</t>
  </si>
  <si>
    <t>CTR-</t>
  </si>
  <si>
    <t>CPC-</t>
  </si>
  <si>
    <t>ROI-</t>
  </si>
  <si>
    <t xml:space="preserve">Conversion Rate </t>
  </si>
  <si>
    <t>Conversion Rate 2</t>
  </si>
  <si>
    <t>Revenue/ $ Spent</t>
  </si>
  <si>
    <t>Profit</t>
  </si>
  <si>
    <t xml:space="preserve">Month </t>
  </si>
  <si>
    <t>Year</t>
  </si>
  <si>
    <t>North</t>
  </si>
  <si>
    <t>Product C</t>
  </si>
  <si>
    <t>Email</t>
  </si>
  <si>
    <t>Q4</t>
  </si>
  <si>
    <t>East</t>
  </si>
  <si>
    <t>Search Engine</t>
  </si>
  <si>
    <t>Product D</t>
  </si>
  <si>
    <t>Q2</t>
  </si>
  <si>
    <t>Product B</t>
  </si>
  <si>
    <t>Social Media</t>
  </si>
  <si>
    <t>Q1</t>
  </si>
  <si>
    <t>Direct Mail</t>
  </si>
  <si>
    <t>South</t>
  </si>
  <si>
    <t>Product A</t>
  </si>
  <si>
    <t>Q3</t>
  </si>
  <si>
    <t>West</t>
  </si>
  <si>
    <t>The Assignment (What should be done)</t>
  </si>
  <si>
    <t>. Audience and Their Goals &amp; Objectives</t>
  </si>
  <si>
    <r>
      <t xml:space="preserve">You’re right — your current list already reflects those 5 trimming rules. The issue isn’t that you missed them, it’s just that the list is </t>
    </r>
    <r>
      <rPr>
        <b/>
        <sz val="12"/>
        <color theme="1"/>
        <rFont val="Aptos Narrow"/>
        <family val="2"/>
        <scheme val="minor"/>
      </rPr>
      <t>long and repetitive across dimensions</t>
    </r>
    <r>
      <rPr>
        <sz val="12"/>
        <color theme="1"/>
        <rFont val="Aptos Narrow"/>
        <family val="2"/>
        <scheme val="minor"/>
      </rPr>
      <t>.</t>
    </r>
  </si>
  <si>
    <r>
      <t>CMO &amp; Executive Team</t>
    </r>
    <r>
      <rPr>
        <sz val="12"/>
        <color theme="1"/>
        <rFont val="Aptos"/>
        <family val="2"/>
      </rPr>
      <t xml:space="preserve"> </t>
    </r>
  </si>
  <si>
    <r>
      <rPr>
        <sz val="12"/>
        <color rgb="FF000000"/>
        <rFont val="Aptos"/>
        <family val="2"/>
      </rPr>
      <t xml:space="preserve">You are tasked with building a </t>
    </r>
    <r>
      <rPr>
        <b/>
        <sz val="12"/>
        <color rgb="FF000000"/>
        <rFont val="Aptos"/>
        <family val="2"/>
      </rPr>
      <t>Marketing Analytics dashboard</t>
    </r>
    <r>
      <rPr>
        <sz val="12"/>
        <color rgb="FF000000"/>
        <rFont val="Aptos"/>
        <family val="2"/>
      </rPr>
      <t xml:space="preserve"> using the dataset.</t>
    </r>
  </si>
  <si>
    <t>Goal: Optimize budget allocation, maximize ROI.</t>
  </si>
  <si>
    <r>
      <t xml:space="preserve">👉 The dashboard is “all set” structurally, but you’ll need to </t>
    </r>
    <r>
      <rPr>
        <b/>
        <sz val="12"/>
        <color theme="1"/>
        <rFont val="Aptos Narrow"/>
        <family val="2"/>
        <scheme val="minor"/>
      </rPr>
      <t>prioritize</t>
    </r>
    <r>
      <rPr>
        <sz val="12"/>
        <color theme="1"/>
        <rFont val="Aptos Narrow"/>
        <family val="2"/>
        <scheme val="minor"/>
      </rPr>
      <t>:</t>
    </r>
  </si>
  <si>
    <t>Your role is to:</t>
  </si>
  <si>
    <t>Regional Marketing Managers</t>
  </si>
  <si>
    <t>Track spend efficiency across channels (CTR, CPC, ROI).</t>
  </si>
  <si>
    <t>Goal: Compare performance across regions, adjust local campaigns.</t>
  </si>
  <si>
    <r>
      <t xml:space="preserve">Keep </t>
    </r>
    <r>
      <rPr>
        <b/>
        <sz val="12"/>
        <color theme="1"/>
        <rFont val="Aptos Narrow"/>
        <family val="2"/>
        <scheme val="minor"/>
      </rPr>
      <t>overview KPIs</t>
    </r>
    <r>
      <rPr>
        <sz val="12"/>
        <color theme="1"/>
        <rFont val="Aptos Narrow"/>
        <family val="2"/>
        <scheme val="minor"/>
      </rPr>
      <t xml:space="preserve"> (Spend, Revenue, ROI, Conversion Rate, MoM/YoY ROI) at the top.</t>
    </r>
  </si>
  <si>
    <t>Compare performance by region and product.</t>
  </si>
  <si>
    <t>Product Managers</t>
  </si>
  <si>
    <t>Identify which channels deliver the highest conversions and revenue.</t>
  </si>
  <si>
    <t>Spend,Conversions, Revenue, by Channnel (Clustered Column Chart)</t>
  </si>
  <si>
    <t>Goal: See which products benefit most from marketing spend.</t>
  </si>
  <si>
    <r>
      <t xml:space="preserve">Push </t>
    </r>
    <r>
      <rPr>
        <b/>
        <sz val="12"/>
        <color theme="1"/>
        <rFont val="Aptos Narrow"/>
        <family val="2"/>
        <scheme val="minor"/>
      </rPr>
      <t>detailed slices</t>
    </r>
    <r>
      <rPr>
        <sz val="12"/>
        <color theme="1"/>
        <rFont val="Aptos Narrow"/>
        <family val="2"/>
        <scheme val="minor"/>
      </rPr>
      <t xml:space="preserve"> (Channel, Region, Product, Date/Quarter) into drill‑down pages.</t>
    </r>
  </si>
  <si>
    <t>Present insights in a clear, storytelling format for decision-makers.</t>
  </si>
  <si>
    <t>EMAIL</t>
  </si>
  <si>
    <t>Digital Marketing Team</t>
  </si>
  <si>
    <t>Goal: Improve channel efficiency (CTR, CPC, conversions).</t>
  </si>
  <si>
    <r>
      <t xml:space="preserve">So: your mapping is correct, no further trimming needed — the next step is </t>
    </r>
    <r>
      <rPr>
        <b/>
        <sz val="12"/>
        <color theme="1"/>
        <rFont val="Aptos Narrow"/>
        <family val="2"/>
        <scheme val="minor"/>
      </rPr>
      <t>layout simplification</t>
    </r>
    <r>
      <rPr>
        <sz val="12"/>
        <color theme="1"/>
        <rFont val="Aptos Narrow"/>
        <family val="2"/>
        <scheme val="minor"/>
      </rPr>
      <t xml:space="preserve"> for storytelling.</t>
    </r>
  </si>
  <si>
    <t>. Specific Questions They Need Answered</t>
  </si>
  <si>
    <t>Which regions and products generate the highest ROI?</t>
  </si>
  <si>
    <t>Which channels (social, search, email, etc.) deliver the best CTR and lowest CPC?</t>
  </si>
  <si>
    <t>CTR, CPC, ROI by Channel</t>
  </si>
  <si>
    <t>How do conversions and revenue trend over time (by quarter)?</t>
  </si>
  <si>
    <t>Conversion Rate%, Revenue, Spend, ROI by Quarter- 4 lines Chart</t>
  </si>
  <si>
    <t>Are certain regions overspending with low returns?</t>
  </si>
  <si>
    <t>Which marketing channels should receive more/less budget?</t>
  </si>
  <si>
    <t>which 3-4 charts should be included on overview page- answering the stakeholders questions (contains every audience's ques) or Executives Goal  focused (single audience's ques) or the Assignment items (also contains every audience's ques)?</t>
  </si>
  <si>
    <t>I got the solution- focus on Executives Goals, ans related stake. questions &amp; assignment in Overvies Page, Next Page- Region, Product , if needed Channel/Quarter (4 Pages approx)</t>
  </si>
  <si>
    <t>Metrics/KPIs                                                                                      Chart Type</t>
  </si>
  <si>
    <t xml:space="preserve">KPI Cards- </t>
  </si>
  <si>
    <t>Total Martketing Spend</t>
  </si>
  <si>
    <r>
      <t xml:space="preserve">Total Marketing Spend by Channel                                    </t>
    </r>
    <r>
      <rPr>
        <b/>
        <sz val="14"/>
        <color rgb="FF4EA72E"/>
        <rFont val="Aptos"/>
        <family val="2"/>
      </rPr>
      <t>Stacked bar</t>
    </r>
    <r>
      <rPr>
        <b/>
        <sz val="14"/>
        <color rgb="FF156082"/>
        <rFont val="Aptos"/>
        <family val="2"/>
      </rPr>
      <t>/Column</t>
    </r>
  </si>
  <si>
    <t>Total Revenue</t>
  </si>
  <si>
    <t>(Revenue Growth %)</t>
  </si>
  <si>
    <t>(ROI Growth Rate %)</t>
  </si>
  <si>
    <t>Total Marketing Spend by Region                                                             Column</t>
  </si>
  <si>
    <t>Overall ROI</t>
  </si>
  <si>
    <r>
      <t xml:space="preserve">Total Marketing Spend by Product                                                        </t>
    </r>
    <r>
      <rPr>
        <b/>
        <sz val="14"/>
        <color rgb="FFE97132"/>
        <rFont val="Aptos"/>
        <family val="2"/>
      </rPr>
      <t xml:space="preserve">Bar </t>
    </r>
    <r>
      <rPr>
        <b/>
        <sz val="14"/>
        <color rgb="FF4EA72E"/>
        <rFont val="Aptos"/>
        <family val="2"/>
      </rPr>
      <t>Column</t>
    </r>
  </si>
  <si>
    <t>MOM ROI%, YOY ROI%</t>
  </si>
  <si>
    <r>
      <t xml:space="preserve">Total Marketing Spend by Quarter                           </t>
    </r>
    <r>
      <rPr>
        <b/>
        <sz val="14"/>
        <color rgb="FFEE0000"/>
        <rFont val="Aptos"/>
        <family val="2"/>
      </rPr>
      <t>Column</t>
    </r>
    <r>
      <rPr>
        <b/>
        <sz val="14"/>
        <color rgb="FF156082"/>
        <rFont val="Aptos"/>
        <family val="2"/>
      </rPr>
      <t>/Line</t>
    </r>
    <r>
      <rPr>
        <b/>
        <sz val="14"/>
        <color rgb="FF4EA72E"/>
        <rFont val="Aptos"/>
        <family val="2"/>
      </rPr>
      <t>/Area (trend)</t>
    </r>
  </si>
  <si>
    <t>Conversion Rate%</t>
  </si>
  <si>
    <r>
      <t xml:space="preserve">Total Revenue by Channel                                                      </t>
    </r>
    <r>
      <rPr>
        <b/>
        <sz val="14"/>
        <color rgb="FF4EA72E"/>
        <rFont val="Aptos"/>
        <family val="2"/>
      </rPr>
      <t>Stacked bar/</t>
    </r>
    <r>
      <rPr>
        <b/>
        <sz val="14"/>
        <color rgb="FF156082"/>
        <rFont val="Aptos"/>
        <family val="2"/>
      </rPr>
      <t>Column</t>
    </r>
  </si>
  <si>
    <t>Revenue/dollar Spent</t>
  </si>
  <si>
    <r>
      <t xml:space="preserve">Total Revenue by Region                                                                              </t>
    </r>
    <r>
      <rPr>
        <b/>
        <sz val="14"/>
        <color rgb="FFE97132"/>
        <rFont val="Aptos"/>
        <family val="2"/>
      </rPr>
      <t xml:space="preserve">Bar </t>
    </r>
    <r>
      <rPr>
        <b/>
        <sz val="14"/>
        <color rgb="FF156082"/>
        <rFont val="Aptos"/>
        <family val="2"/>
      </rPr>
      <t>Column</t>
    </r>
  </si>
  <si>
    <r>
      <t xml:space="preserve">Total Revenue by Product                                                                            </t>
    </r>
    <r>
      <rPr>
        <b/>
        <sz val="14"/>
        <color rgb="FFE97132"/>
        <rFont val="Aptos"/>
        <family val="2"/>
      </rPr>
      <t xml:space="preserve">Bar </t>
    </r>
    <r>
      <rPr>
        <b/>
        <sz val="14"/>
        <color rgb="FF156082"/>
        <rFont val="Aptos"/>
        <family val="2"/>
      </rPr>
      <t>Column</t>
    </r>
  </si>
  <si>
    <r>
      <t xml:space="preserve">Total Revenue by Quarter                                             </t>
    </r>
    <r>
      <rPr>
        <b/>
        <sz val="14"/>
        <color rgb="FFEE0000"/>
        <rFont val="Aptos"/>
        <family val="2"/>
      </rPr>
      <t>Column/</t>
    </r>
    <r>
      <rPr>
        <b/>
        <sz val="14"/>
        <color rgb="FF156082"/>
        <rFont val="Aptos"/>
        <family val="2"/>
      </rPr>
      <t>Line</t>
    </r>
    <r>
      <rPr>
        <b/>
        <sz val="14"/>
        <color rgb="FF4EA72E"/>
        <rFont val="Aptos"/>
        <family val="2"/>
      </rPr>
      <t>/Area (trend)</t>
    </r>
  </si>
  <si>
    <r>
      <t xml:space="preserve">Total Impressions by Channel                                                              </t>
    </r>
    <r>
      <rPr>
        <b/>
        <sz val="14"/>
        <color rgb="FF4EA72E"/>
        <rFont val="Aptos"/>
        <family val="2"/>
      </rPr>
      <t>Bar/</t>
    </r>
    <r>
      <rPr>
        <b/>
        <sz val="14"/>
        <color rgb="FF156082"/>
        <rFont val="Aptos"/>
        <family val="2"/>
      </rPr>
      <t>Column</t>
    </r>
  </si>
  <si>
    <r>
      <t>Total Impressions by Date                                                                      Line/</t>
    </r>
    <r>
      <rPr>
        <b/>
        <sz val="14"/>
        <color rgb="FFE97132"/>
        <rFont val="Aptos"/>
        <family val="2"/>
      </rPr>
      <t>Area</t>
    </r>
    <r>
      <rPr>
        <b/>
        <sz val="14"/>
        <color rgb="FF156082"/>
        <rFont val="Aptos"/>
        <family val="2"/>
      </rPr>
      <t>/</t>
    </r>
    <r>
      <rPr>
        <b/>
        <sz val="14"/>
        <color rgb="FFEE0000"/>
        <rFont val="Aptos"/>
        <family val="2"/>
      </rPr>
      <t>Bar</t>
    </r>
  </si>
  <si>
    <r>
      <t xml:space="preserve">Total Clicks by Channel                                                                            </t>
    </r>
    <r>
      <rPr>
        <b/>
        <sz val="14"/>
        <color rgb="FF4EA72E"/>
        <rFont val="Aptos"/>
        <family val="2"/>
      </rPr>
      <t>Bar/</t>
    </r>
    <r>
      <rPr>
        <b/>
        <sz val="14"/>
        <color rgb="FF156082"/>
        <rFont val="Aptos"/>
        <family val="2"/>
      </rPr>
      <t>Column</t>
    </r>
  </si>
  <si>
    <r>
      <t>Total Clicks by Date                                                                                   Line/</t>
    </r>
    <r>
      <rPr>
        <b/>
        <sz val="14"/>
        <color rgb="FFE97132"/>
        <rFont val="Aptos"/>
        <family val="2"/>
      </rPr>
      <t>Area</t>
    </r>
    <r>
      <rPr>
        <b/>
        <sz val="14"/>
        <color rgb="FF156082"/>
        <rFont val="Aptos"/>
        <family val="2"/>
      </rPr>
      <t>/</t>
    </r>
    <r>
      <rPr>
        <b/>
        <sz val="14"/>
        <color rgb="FFEE0000"/>
        <rFont val="Aptos"/>
        <family val="2"/>
      </rPr>
      <t>Bar</t>
    </r>
  </si>
  <si>
    <r>
      <t xml:space="preserve">Total Conversions by Channel                                                              </t>
    </r>
    <r>
      <rPr>
        <b/>
        <sz val="14"/>
        <color rgb="FF4EA72E"/>
        <rFont val="Aptos"/>
        <family val="2"/>
      </rPr>
      <t>Bar/</t>
    </r>
    <r>
      <rPr>
        <b/>
        <sz val="14"/>
        <color rgb="FF156082"/>
        <rFont val="Aptos"/>
        <family val="2"/>
      </rPr>
      <t>Column</t>
    </r>
  </si>
  <si>
    <r>
      <t>Total Conversions by Date                                                                     Line/</t>
    </r>
    <r>
      <rPr>
        <b/>
        <sz val="14"/>
        <color rgb="FFE97132"/>
        <rFont val="Aptos"/>
        <family val="2"/>
      </rPr>
      <t>Area</t>
    </r>
    <r>
      <rPr>
        <b/>
        <sz val="14"/>
        <color rgb="FF156082"/>
        <rFont val="Aptos"/>
        <family val="2"/>
      </rPr>
      <t>/</t>
    </r>
    <r>
      <rPr>
        <b/>
        <sz val="14"/>
        <color rgb="FFEE0000"/>
        <rFont val="Aptos"/>
        <family val="2"/>
      </rPr>
      <t>Bar</t>
    </r>
  </si>
  <si>
    <r>
      <t xml:space="preserve">Conversion Rate % by Channel                                                           </t>
    </r>
    <r>
      <rPr>
        <b/>
        <sz val="14"/>
        <color rgb="FF4EA72E"/>
        <rFont val="Aptos"/>
        <family val="2"/>
      </rPr>
      <t>Bar/</t>
    </r>
    <r>
      <rPr>
        <b/>
        <sz val="14"/>
        <color rgb="FF156082"/>
        <rFont val="Aptos"/>
        <family val="2"/>
      </rPr>
      <t>Column</t>
    </r>
  </si>
  <si>
    <r>
      <t xml:space="preserve">Conversion Rate % by Region                                                       </t>
    </r>
    <r>
      <rPr>
        <b/>
        <sz val="14"/>
        <color rgb="FFE97132"/>
        <rFont val="Aptos"/>
        <family val="2"/>
      </rPr>
      <t xml:space="preserve">Bar </t>
    </r>
    <r>
      <rPr>
        <b/>
        <sz val="14"/>
        <color rgb="FF4EA72E"/>
        <rFont val="Aptos"/>
        <family val="2"/>
      </rPr>
      <t>Column</t>
    </r>
  </si>
  <si>
    <r>
      <t xml:space="preserve">Conversion Rate % by Product                                                     </t>
    </r>
    <r>
      <rPr>
        <b/>
        <sz val="14"/>
        <color rgb="FFE97132"/>
        <rFont val="Aptos"/>
        <family val="2"/>
      </rPr>
      <t xml:space="preserve">Bar </t>
    </r>
    <r>
      <rPr>
        <b/>
        <sz val="14"/>
        <color rgb="FF4EA72E"/>
        <rFont val="Aptos"/>
        <family val="2"/>
      </rPr>
      <t>Column</t>
    </r>
  </si>
  <si>
    <r>
      <t>Conversion Rate % by Quarter                                   Line/Area</t>
    </r>
    <r>
      <rPr>
        <b/>
        <sz val="14"/>
        <color rgb="FFEE0000"/>
        <rFont val="Aptos"/>
        <family val="2"/>
      </rPr>
      <t xml:space="preserve">/Column </t>
    </r>
    <r>
      <rPr>
        <b/>
        <sz val="14"/>
        <color rgb="FF4EA72E"/>
        <rFont val="Aptos"/>
        <family val="2"/>
      </rPr>
      <t xml:space="preserve">(trend)   </t>
    </r>
  </si>
  <si>
    <r>
      <t xml:space="preserve">Overall ROI by Channel                                                                    </t>
    </r>
    <r>
      <rPr>
        <b/>
        <sz val="14"/>
        <color rgb="FF4EA72E"/>
        <rFont val="Aptos"/>
        <family val="2"/>
      </rPr>
      <t>Bar/</t>
    </r>
    <r>
      <rPr>
        <b/>
        <sz val="14"/>
        <color rgb="FF156082"/>
        <rFont val="Aptos"/>
        <family val="2"/>
      </rPr>
      <t>Column</t>
    </r>
  </si>
  <si>
    <r>
      <t xml:space="preserve">Overall ROI by Region                                                                        </t>
    </r>
    <r>
      <rPr>
        <b/>
        <sz val="14"/>
        <color rgb="FFE97132"/>
        <rFont val="Aptos"/>
        <family val="2"/>
      </rPr>
      <t xml:space="preserve">Bar </t>
    </r>
    <r>
      <rPr>
        <b/>
        <sz val="14"/>
        <color rgb="FF4EA72E"/>
        <rFont val="Aptos"/>
        <family val="2"/>
      </rPr>
      <t>Column</t>
    </r>
  </si>
  <si>
    <r>
      <t xml:space="preserve">Overall ROI by Product                                                                      </t>
    </r>
    <r>
      <rPr>
        <b/>
        <sz val="14"/>
        <color rgb="FFE97132"/>
        <rFont val="Aptos"/>
        <family val="2"/>
      </rPr>
      <t xml:space="preserve">Bar </t>
    </r>
    <r>
      <rPr>
        <b/>
        <sz val="14"/>
        <color rgb="FF4EA72E"/>
        <rFont val="Aptos"/>
        <family val="2"/>
      </rPr>
      <t>Column</t>
    </r>
  </si>
  <si>
    <r>
      <t>Overall ROI by Quarter                                                                  Line/Area</t>
    </r>
    <r>
      <rPr>
        <b/>
        <sz val="14"/>
        <color rgb="FFEE0000"/>
        <rFont val="Aptos"/>
        <family val="2"/>
      </rPr>
      <t>/Column</t>
    </r>
  </si>
  <si>
    <t>CTR by Channel                                                                                  Column/bar</t>
  </si>
  <si>
    <r>
      <t>CTR by Quarter                                                                                 Line/</t>
    </r>
    <r>
      <rPr>
        <b/>
        <sz val="14"/>
        <color rgb="FFE97132"/>
        <rFont val="Aptos"/>
        <family val="2"/>
      </rPr>
      <t>Area</t>
    </r>
    <r>
      <rPr>
        <b/>
        <sz val="14"/>
        <color rgb="FFEE0000"/>
        <rFont val="Aptos"/>
        <family val="2"/>
      </rPr>
      <t>/Column</t>
    </r>
  </si>
  <si>
    <t>CPC by Channel                                                                                Column/bar</t>
  </si>
  <si>
    <r>
      <t>CPC by Quarter                                                                                 Line/</t>
    </r>
    <r>
      <rPr>
        <b/>
        <sz val="14"/>
        <color rgb="FFE97132"/>
        <rFont val="Aptos"/>
        <family val="2"/>
      </rPr>
      <t>Area</t>
    </r>
    <r>
      <rPr>
        <b/>
        <sz val="14"/>
        <color rgb="FFEE0000"/>
        <rFont val="Aptos"/>
        <family val="2"/>
      </rPr>
      <t>/Column</t>
    </r>
  </si>
  <si>
    <r>
      <t xml:space="preserve">Revenue per dollar spent by Channel                                  </t>
    </r>
    <r>
      <rPr>
        <b/>
        <sz val="14"/>
        <color rgb="FF4EA72E"/>
        <rFont val="Aptos"/>
        <family val="2"/>
      </rPr>
      <t>Bar/</t>
    </r>
    <r>
      <rPr>
        <b/>
        <sz val="14"/>
        <color rgb="FF156082"/>
        <rFont val="Aptos"/>
        <family val="2"/>
      </rPr>
      <t>Column</t>
    </r>
  </si>
  <si>
    <r>
      <t xml:space="preserve">Revenue per dollar spent by Region                                       </t>
    </r>
    <r>
      <rPr>
        <b/>
        <sz val="14"/>
        <color rgb="FFE97132"/>
        <rFont val="Aptos"/>
        <family val="2"/>
      </rPr>
      <t xml:space="preserve">Bar </t>
    </r>
    <r>
      <rPr>
        <b/>
        <sz val="14"/>
        <color rgb="FF4EA72E"/>
        <rFont val="Aptos"/>
        <family val="2"/>
      </rPr>
      <t>Column</t>
    </r>
  </si>
  <si>
    <r>
      <t xml:space="preserve">Revenue per dollar spent by Product                                     </t>
    </r>
    <r>
      <rPr>
        <b/>
        <sz val="14"/>
        <color rgb="FFE97132"/>
        <rFont val="Aptos"/>
        <family val="2"/>
      </rPr>
      <t xml:space="preserve">Bar </t>
    </r>
    <r>
      <rPr>
        <b/>
        <sz val="14"/>
        <color rgb="FF4EA72E"/>
        <rFont val="Aptos"/>
        <family val="2"/>
      </rPr>
      <t>Column</t>
    </r>
  </si>
  <si>
    <r>
      <t>Revenue per dollar spent by Quarter                                     Line/Area</t>
    </r>
    <r>
      <rPr>
        <b/>
        <sz val="14"/>
        <color rgb="FFEE0000"/>
        <rFont val="Aptos"/>
        <family val="2"/>
      </rPr>
      <t>/Column</t>
    </r>
  </si>
  <si>
    <t xml:space="preserve">As for Executives’ goal-'Optimize budget allocation, maximize ROI' , i've selected these Charts for overview page "Spend,Conversions, Revenue, by Channnel, CTR, CPC, ROI by Channel, </t>
  </si>
  <si>
    <t>Conversions Rate%, Revenue, Spend, ROI by Quarter (4 lines-Chart). Now tell me are these charts value correct for Overview page?</t>
  </si>
  <si>
    <r>
      <t xml:space="preserve">Your selected charts are </t>
    </r>
    <r>
      <rPr>
        <b/>
        <sz val="12"/>
        <color rgb="FF00B050"/>
        <rFont val="Aptos Narrow"/>
        <family val="2"/>
        <scheme val="minor"/>
      </rPr>
      <t>strong choices for an executive overview page</t>
    </r>
    <r>
      <rPr>
        <sz val="12"/>
        <color rgb="FF00B050"/>
        <rFont val="Aptos Narrow"/>
        <family val="2"/>
        <scheme val="minor"/>
      </rPr>
      <t xml:space="preserve"> because they directly tie to the goal of </t>
    </r>
    <r>
      <rPr>
        <i/>
        <sz val="12"/>
        <color rgb="FF00B050"/>
        <rFont val="Aptos Narrow"/>
        <family val="2"/>
        <scheme val="minor"/>
      </rPr>
      <t>“Optimize budget allocation, maximize ROI.”</t>
    </r>
  </si>
  <si>
    <t>✅ Good picks:</t>
  </si>
  <si>
    <r>
      <t>Spend, Conversions, Revenue by Channel</t>
    </r>
    <r>
      <rPr>
        <sz val="12"/>
        <color rgb="FF00B050"/>
        <rFont val="Aptos Narrow"/>
        <family val="2"/>
        <scheme val="minor"/>
      </rPr>
      <t xml:space="preserve"> → shows where money goes and what comes back.</t>
    </r>
  </si>
  <si>
    <r>
      <t>CTR, CPC, ROI by Channel</t>
    </r>
    <r>
      <rPr>
        <sz val="12"/>
        <color rgb="FF00B050"/>
        <rFont val="Aptos Narrow"/>
        <family val="2"/>
        <scheme val="minor"/>
      </rPr>
      <t xml:space="preserve"> → highlights efficiency of each channel.</t>
    </r>
  </si>
  <si>
    <r>
      <t>Conversion Rate %, Revenue, Spend, ROI by Quarter (multi‑line chart)</t>
    </r>
    <r>
      <rPr>
        <sz val="12"/>
        <color rgb="FF00B050"/>
        <rFont val="Aptos Narrow"/>
        <family val="2"/>
        <scheme val="minor"/>
      </rPr>
      <t xml:space="preserve"> → shows overall performance trends over time.</t>
    </r>
  </si>
  <si>
    <t>👉 Why correct:</t>
  </si>
  <si>
    <r>
      <t xml:space="preserve">They answer executives’ core questions: </t>
    </r>
    <r>
      <rPr>
        <i/>
        <sz val="12"/>
        <color rgb="FF00B050"/>
        <rFont val="Aptos Narrow"/>
        <family val="2"/>
        <scheme val="minor"/>
      </rPr>
      <t>Which channels are efficient? Where is ROI maximized? How is performance trending?</t>
    </r>
  </si>
  <si>
    <r>
      <t xml:space="preserve">They avoid overwhelming detail but still cover </t>
    </r>
    <r>
      <rPr>
        <b/>
        <sz val="12"/>
        <color rgb="FF00B050"/>
        <rFont val="Aptos Narrow"/>
        <family val="2"/>
        <scheme val="minor"/>
      </rPr>
      <t>budget allocation + ROI optimization</t>
    </r>
    <r>
      <rPr>
        <sz val="12"/>
        <color rgb="FF00B050"/>
        <rFont val="Aptos Narrow"/>
        <family val="2"/>
        <scheme val="minor"/>
      </rPr>
      <t>.</t>
    </r>
  </si>
  <si>
    <r>
      <t xml:space="preserve">So yes — these charts are </t>
    </r>
    <r>
      <rPr>
        <b/>
        <sz val="12"/>
        <color rgb="FF00B050"/>
        <rFont val="Aptos Narrow"/>
        <family val="2"/>
        <scheme val="minor"/>
      </rPr>
      <t>appropriate and valuable for the overview page</t>
    </r>
    <r>
      <rPr>
        <sz val="12"/>
        <color rgb="FF00B050"/>
        <rFont val="Aptos Narrow"/>
        <family val="2"/>
        <scheme val="minor"/>
      </rPr>
      <t>. For balance, keep it to 3–4 visuals max (e.g., one trend chart + 2–3 channel comparison charts).</t>
    </r>
  </si>
  <si>
    <t>You already have a solid set of KPI cards (Spend, Revenue, ROI, MoM, YoY, Conversion Rate, Revenue per Dollar Spent). With those plus the 3 charts you listed, the overview page is complete for executives.</t>
  </si>
  <si>
    <r>
      <t xml:space="preserve">👉 No need to add more charts — the mix of </t>
    </r>
    <r>
      <rPr>
        <b/>
        <sz val="12"/>
        <color theme="5"/>
        <rFont val="Aptos Narrow"/>
        <family val="2"/>
        <scheme val="minor"/>
      </rPr>
      <t>headline KPI cards</t>
    </r>
    <r>
      <rPr>
        <sz val="12"/>
        <color theme="5"/>
        <rFont val="Aptos Narrow"/>
        <family val="2"/>
        <scheme val="minor"/>
      </rPr>
      <t xml:space="preserve"> + </t>
    </r>
    <r>
      <rPr>
        <b/>
        <sz val="12"/>
        <color theme="5"/>
        <rFont val="Aptos Narrow"/>
        <family val="2"/>
        <scheme val="minor"/>
      </rPr>
      <t>channel efficiency charts</t>
    </r>
    <r>
      <rPr>
        <sz val="12"/>
        <color theme="5"/>
        <rFont val="Aptos Narrow"/>
        <family val="2"/>
        <scheme val="minor"/>
      </rPr>
      <t xml:space="preserve"> + </t>
    </r>
    <r>
      <rPr>
        <b/>
        <sz val="12"/>
        <color theme="5"/>
        <rFont val="Aptos Narrow"/>
        <family val="2"/>
        <scheme val="minor"/>
      </rPr>
      <t>quarterly trend chart</t>
    </r>
    <r>
      <rPr>
        <sz val="12"/>
        <color theme="5"/>
        <rFont val="Aptos Narrow"/>
        <family val="2"/>
        <scheme val="minor"/>
      </rPr>
      <t xml:space="preserve"> fully answers the executive goal of </t>
    </r>
    <r>
      <rPr>
        <i/>
        <sz val="12"/>
        <color theme="5"/>
        <rFont val="Aptos Narrow"/>
        <family val="2"/>
        <scheme val="minor"/>
      </rPr>
      <t>“Optimize budget allocation, maximize ROI.”</t>
    </r>
  </si>
  <si>
    <r>
      <t xml:space="preserve">Keep it lean: </t>
    </r>
    <r>
      <rPr>
        <b/>
        <sz val="12"/>
        <color theme="5"/>
        <rFont val="Aptos Narrow"/>
        <family val="2"/>
        <scheme val="minor"/>
      </rPr>
      <t>3–4 charts + KPI cards</t>
    </r>
    <r>
      <rPr>
        <sz val="12"/>
        <color theme="5"/>
        <rFont val="Aptos Narrow"/>
        <family val="2"/>
        <scheme val="minor"/>
      </rPr>
      <t xml:space="preserve"> is the right balance for overview.</t>
    </r>
  </si>
  <si>
    <t>Average of ROI-</t>
  </si>
  <si>
    <t>is it right formula to calculate 'Overall ROI' for KPI Card, if yes then which one of both ? "=GETPIVOTDATA("Profit",$Q$47)/GETPIVOTDATA("Spent",$Q$47)" OR "=GETPIVOTDATA("Profit",$Q$47)/GETPIVOTDATA("Spent",$R$47)" , Q47-cell referencing (in Pivot) of total for Spent, R47-cell referencing (in Pivot) of total for Profit.</t>
  </si>
  <si>
    <t>Total Marketing Spend</t>
  </si>
  <si>
    <t>Overall ROI %</t>
  </si>
  <si>
    <t>Sum of Spent</t>
  </si>
  <si>
    <t>Sum of Profit</t>
  </si>
  <si>
    <t>Conversion Rate %</t>
  </si>
  <si>
    <t>Sum of Clicks-</t>
  </si>
  <si>
    <t>Sum of Conversions-</t>
  </si>
  <si>
    <t>Revenue/$ Spent</t>
  </si>
  <si>
    <t>Sum of Revenue-</t>
  </si>
  <si>
    <t>2023</t>
  </si>
  <si>
    <t>Jan</t>
  </si>
  <si>
    <t>For your KPI card, the correct formula is:</t>
  </si>
  <si>
    <t>Feb</t>
  </si>
  <si>
    <t>=GETPIVOTDATA("Profit",$Q$47)/GETPIVOTDATA("Spent",$Q$47)</t>
  </si>
  <si>
    <t>Mar</t>
  </si>
  <si>
    <r>
      <t xml:space="preserve">👉 Reason: Both </t>
    </r>
    <r>
      <rPr>
        <b/>
        <sz val="12"/>
        <color rgb="FF00B050"/>
        <rFont val="Aptos Narrow"/>
        <family val="2"/>
        <scheme val="minor"/>
      </rPr>
      <t>Profit</t>
    </r>
    <r>
      <rPr>
        <sz val="12"/>
        <color rgb="FF00B050"/>
        <rFont val="Aptos Narrow"/>
        <family val="2"/>
        <scheme val="minor"/>
      </rPr>
      <t xml:space="preserve"> and </t>
    </r>
    <r>
      <rPr>
        <b/>
        <sz val="12"/>
        <color rgb="FF00B050"/>
        <rFont val="Aptos Narrow"/>
        <family val="2"/>
        <scheme val="minor"/>
      </rPr>
      <t>Spent</t>
    </r>
    <r>
      <rPr>
        <sz val="12"/>
        <color rgb="FF00B050"/>
        <rFont val="Aptos Narrow"/>
        <family val="2"/>
        <scheme val="minor"/>
      </rPr>
      <t xml:space="preserve"> must be pulled from the </t>
    </r>
    <r>
      <rPr>
        <b/>
        <sz val="12"/>
        <color rgb="FF00B050"/>
        <rFont val="Aptos Narrow"/>
        <family val="2"/>
        <scheme val="minor"/>
      </rPr>
      <t>same Pivot reference</t>
    </r>
    <r>
      <rPr>
        <sz val="12"/>
        <color rgb="FF00B050"/>
        <rFont val="Aptos Narrow"/>
        <family val="2"/>
        <scheme val="minor"/>
      </rPr>
      <t xml:space="preserve"> (the same pivot table anchor cell).</t>
    </r>
  </si>
  <si>
    <t>Apr</t>
  </si>
  <si>
    <t>$Q$47</t>
  </si>
  <si>
    <t>Spend</t>
  </si>
  <si>
    <t>Revenue</t>
  </si>
  <si>
    <t>YOY ROI %</t>
  </si>
  <si>
    <t>MOM ROI %</t>
  </si>
  <si>
    <t>May</t>
  </si>
  <si>
    <t>should be the pivot table reference point.</t>
  </si>
  <si>
    <t>Jun</t>
  </si>
  <si>
    <t>Using</t>
  </si>
  <si>
    <t>Jul</t>
  </si>
  <si>
    <t>$R$47</t>
  </si>
  <si>
    <t>CTR</t>
  </si>
  <si>
    <t>CPC</t>
  </si>
  <si>
    <t>Aug</t>
  </si>
  <si>
    <t>(a different cell) risks mismatched context, so it won’t calculate correctly.</t>
  </si>
  <si>
    <t>2024</t>
  </si>
  <si>
    <t>Sep</t>
  </si>
  <si>
    <r>
      <t xml:space="preserve">So yes, the first formula is the right one to show </t>
    </r>
    <r>
      <rPr>
        <b/>
        <sz val="12"/>
        <color rgb="FF00B050"/>
        <rFont val="Aptos Narrow"/>
        <family val="2"/>
        <scheme val="minor"/>
      </rPr>
      <t>Overall ROI = Sum of Profit ÷ Sum of Spend</t>
    </r>
    <r>
      <rPr>
        <sz val="12"/>
        <color rgb="FF00B050"/>
        <rFont val="Aptos Narrow"/>
        <family val="2"/>
        <scheme val="minor"/>
      </rPr>
      <t xml:space="preserve"> for your KPI card.</t>
    </r>
  </si>
  <si>
    <t>Grand Total</t>
  </si>
  <si>
    <t>Oct</t>
  </si>
  <si>
    <t>Nov</t>
  </si>
  <si>
    <t>MOM/ YOU ROI %</t>
  </si>
  <si>
    <t>Dec</t>
  </si>
  <si>
    <r>
      <t xml:space="preserve">For </t>
    </r>
    <r>
      <rPr>
        <b/>
        <sz val="12"/>
        <color theme="5"/>
        <rFont val="Aptos Narrow"/>
        <family val="2"/>
        <scheme val="minor"/>
      </rPr>
      <t>both KPI cards (MoM + YoY)</t>
    </r>
    <r>
      <rPr>
        <sz val="12"/>
        <color theme="5"/>
        <rFont val="Aptos Narrow"/>
        <family val="2"/>
        <scheme val="minor"/>
      </rPr>
      <t>, you need two different Pivot setups:</t>
    </r>
  </si>
  <si>
    <t>2023 Total</t>
  </si>
  <si>
    <r>
      <t>MoM ROI % KPI</t>
    </r>
    <r>
      <rPr>
        <sz val="12"/>
        <color theme="5"/>
        <rFont val="Aptos Narrow"/>
        <family val="2"/>
        <scheme val="minor"/>
      </rPr>
      <t xml:space="preserve"> → Pivot rows must be </t>
    </r>
    <r>
      <rPr>
        <b/>
        <sz val="12"/>
        <color theme="5"/>
        <rFont val="Aptos Narrow"/>
        <family val="2"/>
        <scheme val="minor"/>
      </rPr>
      <t>Year + Month</t>
    </r>
    <r>
      <rPr>
        <sz val="12"/>
        <color theme="5"/>
        <rFont val="Aptos Narrow"/>
        <family val="2"/>
        <scheme val="minor"/>
      </rPr>
      <t xml:space="preserve"> so each month is unique and sequential.</t>
    </r>
  </si>
  <si>
    <t>👉 Then outside Pivot:</t>
  </si>
  <si>
    <t>(Current Month ROI ÷ Previous Month ROI) – 1</t>
  </si>
  <si>
    <t>.</t>
  </si>
  <si>
    <r>
      <t>YoY ROI % KPI</t>
    </r>
    <r>
      <rPr>
        <sz val="12"/>
        <color theme="5"/>
        <rFont val="Aptos Narrow"/>
        <family val="2"/>
        <scheme val="minor"/>
      </rPr>
      <t xml:space="preserve"> → Pivot rows can be just </t>
    </r>
    <r>
      <rPr>
        <b/>
        <sz val="12"/>
        <color theme="5"/>
        <rFont val="Aptos Narrow"/>
        <family val="2"/>
        <scheme val="minor"/>
      </rPr>
      <t>Year</t>
    </r>
    <r>
      <rPr>
        <sz val="12"/>
        <color theme="5"/>
        <rFont val="Aptos Narrow"/>
        <family val="2"/>
        <scheme val="minor"/>
      </rPr>
      <t xml:space="preserve"> (simpler).</t>
    </r>
  </si>
  <si>
    <t>(Current Year ROI ÷ Previous Year ROI) – 1</t>
  </si>
  <si>
    <t>Total Impressions</t>
  </si>
  <si>
    <t>Total Clicks</t>
  </si>
  <si>
    <t>So:</t>
  </si>
  <si>
    <t xml:space="preserve">Average of Conversion Rate </t>
  </si>
  <si>
    <r>
      <t xml:space="preserve">Use </t>
    </r>
    <r>
      <rPr>
        <b/>
        <sz val="12"/>
        <color theme="5"/>
        <rFont val="Aptos Narrow"/>
        <family val="2"/>
        <scheme val="minor"/>
      </rPr>
      <t>Year+Month rows</t>
    </r>
    <r>
      <rPr>
        <sz val="12"/>
        <color theme="5"/>
        <rFont val="Aptos Narrow"/>
        <family val="2"/>
        <scheme val="minor"/>
      </rPr>
      <t xml:space="preserve"> when calculating MoM.</t>
    </r>
  </si>
  <si>
    <t>Corrected Formatting (No. to %)</t>
  </si>
  <si>
    <r>
      <t xml:space="preserve">Use </t>
    </r>
    <r>
      <rPr>
        <b/>
        <sz val="12"/>
        <color theme="5"/>
        <rFont val="Aptos Narrow"/>
        <family val="2"/>
        <scheme val="minor"/>
      </rPr>
      <t>Year rows only</t>
    </r>
    <r>
      <rPr>
        <sz val="12"/>
        <color theme="5"/>
        <rFont val="Aptos Narrow"/>
        <family val="2"/>
        <scheme val="minor"/>
      </rPr>
      <t xml:space="preserve"> when calculating YoY.</t>
    </r>
  </si>
  <si>
    <t>That way both KPI cards are correct and clean.</t>
  </si>
  <si>
    <t>2024 Total</t>
  </si>
  <si>
    <t>Total Conversions</t>
  </si>
  <si>
    <r>
      <t xml:space="preserve">shows how efficiently each channel converts its spend into returns, expressed as a </t>
    </r>
    <r>
      <rPr>
        <b/>
        <sz val="12"/>
        <color rgb="FF00B050"/>
        <rFont val="Aptos Narrow"/>
        <family val="2"/>
        <scheme val="minor"/>
      </rPr>
      <t>% ROI</t>
    </r>
  </si>
  <si>
    <t>Pivot 12</t>
  </si>
  <si>
    <t>Sum of Revenue</t>
  </si>
  <si>
    <t>in dataset i've created a calculated column "Conversion Rate %" with formula "conversions/clicks" , when used in pivot for "Conversion Rate % by channel" - putting this in values and apply average calculation on it , it gives '0 values for all channels'</t>
  </si>
  <si>
    <t>It shows 0 because your calculated column</t>
  </si>
  <si>
    <t>Conversions ÷ Clicks</t>
  </si>
  <si>
    <t>is row‑level, and in Pivot the Average of those rows collapses incorrectly (especially if clicks=0).</t>
  </si>
  <si>
    <t>👉 Fix:</t>
  </si>
  <si>
    <t>In Pivot, use Sum of Conversions ÷ Sum of Clicks (two separate fields).</t>
  </si>
  <si>
    <t>Then compute the ratio outside Pivot with</t>
  </si>
  <si>
    <t>=GETPIVOTDATA("Conversions",$A$55,"Channel","X") / GETPIVOTDATA("Clicks",$A$55,"Channel","X")</t>
  </si>
  <si>
    <t>That gives correct Conversion Rate % by Channel.</t>
  </si>
  <si>
    <r>
      <t xml:space="preserve">ROI = </t>
    </r>
    <r>
      <rPr>
        <b/>
        <sz val="12"/>
        <color rgb="FF00B050"/>
        <rFont val="Aptos Narrow"/>
        <family val="2"/>
        <scheme val="minor"/>
      </rPr>
      <t>Return on Investment</t>
    </r>
    <r>
      <rPr>
        <sz val="12"/>
        <color rgb="FF00B050"/>
        <rFont val="Aptos Narrow"/>
        <family val="2"/>
        <scheme val="minor"/>
      </rPr>
      <t>.</t>
    </r>
  </si>
  <si>
    <r>
      <t xml:space="preserve">Here’s the step‑by‑step way to calculate </t>
    </r>
    <r>
      <rPr>
        <b/>
        <sz val="12"/>
        <color theme="9"/>
        <rFont val="Aptos Narrow"/>
        <family val="2"/>
        <scheme val="minor"/>
      </rPr>
      <t>Profit‑based ROI in Pivot (without Calculated Field option):</t>
    </r>
  </si>
  <si>
    <t>👉 Formula: (\text{ROI} = \frac{\text{Net Profit}}{\text{Cost/Spend}}).</t>
  </si>
  <si>
    <r>
      <t>Add a Profit column in dataset</t>
    </r>
    <r>
      <rPr>
        <sz val="12"/>
        <color theme="9"/>
        <rFont val="Aptos Narrow"/>
        <family val="2"/>
        <scheme val="minor"/>
      </rPr>
      <t xml:space="preserve"> → create it outside Pivot:</t>
    </r>
  </si>
  <si>
    <r>
      <t>Type:</t>
    </r>
    <r>
      <rPr>
        <sz val="12"/>
        <color rgb="FF00B050"/>
        <rFont val="Aptos Narrow"/>
        <family val="2"/>
        <scheme val="minor"/>
      </rPr>
      <t xml:space="preserve"> It’s a </t>
    </r>
    <r>
      <rPr>
        <b/>
        <sz val="12"/>
        <color rgb="FF00B050"/>
        <rFont val="Aptos Narrow"/>
        <family val="2"/>
        <scheme val="minor"/>
      </rPr>
      <t>percentage</t>
    </r>
    <r>
      <rPr>
        <sz val="12"/>
        <color rgb="FF00B050"/>
        <rFont val="Aptos Narrow"/>
        <family val="2"/>
        <scheme val="minor"/>
      </rPr>
      <t>, not an amount.</t>
    </r>
  </si>
  <si>
    <t>(\text{Profit} = \text{Revenue} - \text{Spend}).</t>
  </si>
  <si>
    <r>
      <t>Presentation:</t>
    </r>
    <r>
      <rPr>
        <sz val="12"/>
        <color rgb="FF00B050"/>
        <rFont val="Aptos Narrow"/>
        <family val="2"/>
        <scheme val="minor"/>
      </rPr>
      <t xml:space="preserve"> Show it as </t>
    </r>
    <r>
      <rPr>
        <b/>
        <sz val="12"/>
        <color rgb="FF00B050"/>
        <rFont val="Aptos Narrow"/>
        <family val="2"/>
        <scheme val="minor"/>
      </rPr>
      <t>%</t>
    </r>
    <r>
      <rPr>
        <sz val="12"/>
        <color rgb="FF00B050"/>
        <rFont val="Aptos Narrow"/>
        <family val="2"/>
        <scheme val="minor"/>
      </rPr>
      <t xml:space="preserve"> (e.g., 120%, 85%) in dashboards.</t>
    </r>
  </si>
  <si>
    <r>
      <t>Insert Pivot Table</t>
    </r>
    <r>
      <rPr>
        <sz val="12"/>
        <color theme="9"/>
        <rFont val="Aptos Narrow"/>
        <family val="2"/>
        <scheme val="minor"/>
      </rPr>
      <t xml:space="preserve"> → include </t>
    </r>
    <r>
      <rPr>
        <b/>
        <sz val="12"/>
        <color theme="9"/>
        <rFont val="Aptos Narrow"/>
        <family val="2"/>
        <scheme val="minor"/>
      </rPr>
      <t>Profit</t>
    </r>
    <r>
      <rPr>
        <sz val="12"/>
        <color theme="9"/>
        <rFont val="Aptos Narrow"/>
        <family val="2"/>
        <scheme val="minor"/>
      </rPr>
      <t xml:space="preserve"> and </t>
    </r>
    <r>
      <rPr>
        <b/>
        <sz val="12"/>
        <color theme="9"/>
        <rFont val="Aptos Narrow"/>
        <family val="2"/>
        <scheme val="minor"/>
      </rPr>
      <t>Spend</t>
    </r>
    <r>
      <rPr>
        <sz val="12"/>
        <color theme="9"/>
        <rFont val="Aptos Narrow"/>
        <family val="2"/>
        <scheme val="minor"/>
      </rPr>
      <t xml:space="preserve"> fields.</t>
    </r>
  </si>
  <si>
    <r>
      <t>Overall ROI:</t>
    </r>
    <r>
      <rPr>
        <sz val="12"/>
        <color rgb="FF00B050"/>
        <rFont val="Aptos Narrow"/>
        <family val="2"/>
        <scheme val="minor"/>
      </rPr>
      <t xml:space="preserve"> Use </t>
    </r>
    <r>
      <rPr>
        <b/>
        <sz val="12"/>
        <color rgb="FF00B050"/>
        <rFont val="Aptos Narrow"/>
        <family val="2"/>
        <scheme val="minor"/>
      </rPr>
      <t>Total Net Profit ÷ Total Spend</t>
    </r>
    <r>
      <rPr>
        <sz val="12"/>
        <color rgb="FF00B050"/>
        <rFont val="Aptos Narrow"/>
        <family val="2"/>
        <scheme val="minor"/>
      </rPr>
      <t xml:space="preserve"> → gives one % value summarizing efficiency of all spend.</t>
    </r>
  </si>
  <si>
    <t>In Pivot Values area:</t>
  </si>
  <si>
    <r>
      <t xml:space="preserve">So: always present ROI as a </t>
    </r>
    <r>
      <rPr>
        <b/>
        <sz val="12"/>
        <color rgb="FF00B050"/>
        <rFont val="Aptos Narrow"/>
        <family val="2"/>
        <scheme val="minor"/>
      </rPr>
      <t>% metric</t>
    </r>
    <r>
      <rPr>
        <sz val="12"/>
        <color rgb="FF00B050"/>
        <rFont val="Aptos Narrow"/>
        <family val="2"/>
        <scheme val="minor"/>
      </rPr>
      <t>, not currency.</t>
    </r>
  </si>
  <si>
    <r>
      <t xml:space="preserve">Add </t>
    </r>
    <r>
      <rPr>
        <b/>
        <sz val="12"/>
        <color theme="9"/>
        <rFont val="Aptos Narrow"/>
        <family val="2"/>
        <scheme val="minor"/>
      </rPr>
      <t>Profit</t>
    </r>
    <r>
      <rPr>
        <sz val="12"/>
        <color theme="9"/>
        <rFont val="Aptos Narrow"/>
        <family val="2"/>
        <scheme val="minor"/>
      </rPr>
      <t xml:space="preserve"> → set to </t>
    </r>
    <r>
      <rPr>
        <b/>
        <sz val="12"/>
        <color theme="9"/>
        <rFont val="Aptos Narrow"/>
        <family val="2"/>
        <scheme val="minor"/>
      </rPr>
      <t>Sum</t>
    </r>
    <r>
      <rPr>
        <sz val="12"/>
        <color theme="9"/>
        <rFont val="Aptos Narrow"/>
        <family val="2"/>
        <scheme val="minor"/>
      </rPr>
      <t>.</t>
    </r>
  </si>
  <si>
    <t xml:space="preserve">- **120% / 151% ROI:** Correct — ROI can exceed 100% when returns are greater than spend.  </t>
  </si>
  <si>
    <r>
      <t xml:space="preserve">Add </t>
    </r>
    <r>
      <rPr>
        <b/>
        <sz val="12"/>
        <color theme="9"/>
        <rFont val="Aptos Narrow"/>
        <family val="2"/>
        <scheme val="minor"/>
      </rPr>
      <t>Spend</t>
    </r>
    <r>
      <rPr>
        <sz val="12"/>
        <color theme="9"/>
        <rFont val="Aptos Narrow"/>
        <family val="2"/>
        <scheme val="minor"/>
      </rPr>
      <t xml:space="preserve"> → set to </t>
    </r>
    <r>
      <rPr>
        <b/>
        <sz val="12"/>
        <color theme="9"/>
        <rFont val="Aptos Narrow"/>
        <family val="2"/>
        <scheme val="minor"/>
      </rPr>
      <t>Sum</t>
    </r>
    <r>
      <rPr>
        <sz val="12"/>
        <color theme="9"/>
        <rFont val="Aptos Narrow"/>
        <family val="2"/>
        <scheme val="minor"/>
      </rPr>
      <t>.</t>
    </r>
  </si>
  <si>
    <t xml:space="preserve">- **Format:** Present ROI as **percentage (%)** in pivot or dashboard visuals.  </t>
  </si>
  <si>
    <t>Create a helper column outside Pivot:</t>
  </si>
  <si>
    <t xml:space="preserve">- **By Channel/Region/Product:** Show ROI % for each dimension (e.g., bar/column chart with ROI % labels).  </t>
  </si>
  <si>
    <t>(\text{Overall ROI} = \frac{\text{Sum of Profit}}{\text{Sum of Spend}}).</t>
  </si>
  <si>
    <r>
      <t xml:space="preserve">Format as </t>
    </r>
    <r>
      <rPr>
        <b/>
        <sz val="12"/>
        <color theme="9"/>
        <rFont val="Aptos Narrow"/>
        <family val="2"/>
        <scheme val="minor"/>
      </rPr>
      <t>Percentage (%)</t>
    </r>
    <r>
      <rPr>
        <sz val="12"/>
        <color theme="9"/>
        <rFont val="Aptos Narrow"/>
        <family val="2"/>
        <scheme val="minor"/>
      </rPr>
      <t>.</t>
    </r>
  </si>
  <si>
    <t>👉 Always keep ROI formatted as **%**, not currency.</t>
  </si>
  <si>
    <t>👉 Since Calculated Field isn’t available, you must compute ROI outside Pivot using the aggregated totals (Sum of Profit ÷ Sum of Spend). This ensures correct overall ROI by Channel/Region/Product.</t>
  </si>
  <si>
    <t>Overall ROI by Channel means:</t>
  </si>
  <si>
    <t>👉 For each Channel (e.g., Email, Social, Paid Ads), you take Total Returns (Revenue or Profit) ÷ Total Spend for that channel.</t>
  </si>
  <si>
    <t>So it shows how efficiently each channel converts its spend into returns, expressed as a % ROI.</t>
  </si>
  <si>
    <t>In dashboards: present it as ROI % per Channel (bar chart or table), so you can compare which channel delivers the highest return efficiency.</t>
  </si>
  <si>
    <t>CTR → Average gives 0 values for all channels, in dataset its values are in zero point some 4-5 places decimals , should i change its formatting? shortest ans</t>
  </si>
  <si>
    <t>No — don’t change formatting.</t>
  </si>
  <si>
    <r>
      <t xml:space="preserve">👉 CTR values are very small decimals, so </t>
    </r>
    <r>
      <rPr>
        <b/>
        <sz val="12"/>
        <color theme="9"/>
        <rFont val="Aptos Narrow"/>
        <family val="2"/>
        <scheme val="minor"/>
      </rPr>
      <t>Average</t>
    </r>
    <r>
      <rPr>
        <sz val="12"/>
        <color theme="9"/>
        <rFont val="Aptos Narrow"/>
        <family val="2"/>
        <scheme val="minor"/>
      </rPr>
      <t xml:space="preserve"> shows near‑zero. Just format as </t>
    </r>
    <r>
      <rPr>
        <b/>
        <sz val="12"/>
        <color theme="9"/>
        <rFont val="Aptos Narrow"/>
        <family val="2"/>
        <scheme val="minor"/>
      </rPr>
      <t>Percentage (%)</t>
    </r>
    <r>
      <rPr>
        <sz val="12"/>
        <color theme="9"/>
        <rFont val="Aptos Narrow"/>
        <family val="2"/>
        <scheme val="minor"/>
      </rPr>
      <t xml:space="preserve"> → they’ll display correctly (e.g., 0.004 → 0.4%).</t>
    </r>
  </si>
  <si>
    <t>now it show 14-15% values, is it ready for charts ? was this same problem with conversion rate% (no 0 clicks in dataset) ? shortest ans</t>
  </si>
  <si>
    <r>
      <t xml:space="preserve">Yes — now CTR shows proper values (14–15%) and is </t>
    </r>
    <r>
      <rPr>
        <b/>
        <sz val="12"/>
        <color theme="9"/>
        <rFont val="Aptos Narrow"/>
        <family val="2"/>
        <scheme val="minor"/>
      </rPr>
      <t>ready for charts</t>
    </r>
    <r>
      <rPr>
        <sz val="12"/>
        <color theme="9"/>
        <rFont val="Aptos Narrow"/>
        <family val="2"/>
        <scheme val="minor"/>
      </rPr>
      <t>.</t>
    </r>
  </si>
  <si>
    <r>
      <t xml:space="preserve">👉 Same issue happened earlier with </t>
    </r>
    <r>
      <rPr>
        <b/>
        <sz val="12"/>
        <color theme="9"/>
        <rFont val="Aptos Narrow"/>
        <family val="2"/>
        <scheme val="minor"/>
      </rPr>
      <t>Conversion Rate %</t>
    </r>
    <r>
      <rPr>
        <sz val="12"/>
        <color theme="9"/>
        <rFont val="Aptos Narrow"/>
        <family val="2"/>
        <scheme val="minor"/>
      </rPr>
      <t xml:space="preserve"> — decimals looked tiny until formatted as </t>
    </r>
    <r>
      <rPr>
        <b/>
        <sz val="12"/>
        <color theme="9"/>
        <rFont val="Aptos Narrow"/>
        <family val="2"/>
        <scheme val="minor"/>
      </rPr>
      <t>Percentage</t>
    </r>
    <r>
      <rPr>
        <sz val="12"/>
        <color theme="9"/>
        <rFont val="Aptos Narrow"/>
        <family val="2"/>
        <scheme val="minor"/>
      </rPr>
      <t>. Since no 0 clicks in dataset, both metrics are valid and dashboard‑ready.</t>
    </r>
  </si>
  <si>
    <t>Conversions</t>
  </si>
  <si>
    <t>ROI %</t>
  </si>
  <si>
    <t xml:space="preserve">Conversion Rate % </t>
  </si>
  <si>
    <r>
      <rPr>
        <b/>
        <sz val="16"/>
        <color rgb="FF00B050"/>
        <rFont val="Aptos Narrow"/>
        <family val="2"/>
        <scheme val="minor"/>
      </rPr>
      <t>NOTE</t>
    </r>
    <r>
      <rPr>
        <sz val="14"/>
        <color rgb="FF000000"/>
        <rFont val="Aptos Narrow"/>
        <family val="2"/>
        <scheme val="minor"/>
      </rPr>
      <t xml:space="preserve">- There is a Problem with Slicers in Dashboard, It only filters one specific Region/Product/Channel (the top most item present in pivots) . </t>
    </r>
    <r>
      <rPr>
        <sz val="14"/>
        <color rgb="FFFF0000"/>
        <rFont val="Aptos Narrow"/>
        <family val="2"/>
        <scheme val="minor"/>
      </rPr>
      <t xml:space="preserve">Reason is Two Tables are Used (in Conversion Rate %, Overall ROI, Revenue/$ Spent) &amp; </t>
    </r>
  </si>
  <si>
    <r>
      <t xml:space="preserve">slicers don't directly connect to the other Calculated Table </t>
    </r>
    <r>
      <rPr>
        <sz val="14"/>
        <color rgb="FF000000"/>
        <rFont val="Aptos Narrow"/>
        <family val="2"/>
      </rPr>
      <t>(through pivots Connencted cell references- only value changes correctly)</t>
    </r>
  </si>
  <si>
    <t>EMAIL- Highest Conversions &amp; Revenue</t>
  </si>
  <si>
    <t>Search Engine- Best CTR+ Lowest CPC</t>
  </si>
  <si>
    <t>👉 Better consistent options:</t>
  </si>
  <si>
    <r>
      <t>ROI</t>
    </r>
    <r>
      <rPr>
        <sz val="12"/>
        <color theme="9"/>
        <rFont val="Aptos Narrow"/>
        <family val="2"/>
        <scheme val="minor"/>
      </rPr>
      <t xml:space="preserve"> → Dark Green (positive growth, profitability)</t>
    </r>
  </si>
  <si>
    <r>
      <t>Revenue</t>
    </r>
    <r>
      <rPr>
        <sz val="12"/>
        <color theme="9"/>
        <rFont val="Aptos Narrow"/>
        <family val="2"/>
        <scheme val="minor"/>
      </rPr>
      <t xml:space="preserve"> → Medium Green (money inflow)</t>
    </r>
  </si>
  <si>
    <r>
      <t>Spend</t>
    </r>
    <r>
      <rPr>
        <sz val="12"/>
        <color theme="9"/>
        <rFont val="Aptos Narrow"/>
        <family val="2"/>
        <scheme val="minor"/>
      </rPr>
      <t xml:space="preserve"> → Orange (outflow/cost)</t>
    </r>
  </si>
  <si>
    <r>
      <t>Conversions</t>
    </r>
    <r>
      <rPr>
        <sz val="12"/>
        <color theme="9"/>
        <rFont val="Aptos Narrow"/>
        <family val="2"/>
        <scheme val="minor"/>
      </rPr>
      <t xml:space="preserve"> → Blue (neutral action metric)</t>
    </r>
  </si>
  <si>
    <r>
      <t>Conversion Rate %</t>
    </r>
    <r>
      <rPr>
        <sz val="12"/>
        <color theme="9"/>
        <rFont val="Aptos Narrow"/>
        <family val="2"/>
        <scheme val="minor"/>
      </rPr>
      <t xml:space="preserve"> → Purple (ratio/efficiency)</t>
    </r>
  </si>
  <si>
    <r>
      <t>CTR</t>
    </r>
    <r>
      <rPr>
        <sz val="12"/>
        <color theme="9"/>
        <rFont val="Aptos Narrow"/>
        <family val="2"/>
        <scheme val="minor"/>
      </rPr>
      <t xml:space="preserve"> → Teal (engagement metric)</t>
    </r>
  </si>
  <si>
    <r>
      <t>CPC</t>
    </r>
    <r>
      <rPr>
        <sz val="12"/>
        <color theme="9"/>
        <rFont val="Aptos Narrow"/>
        <family val="2"/>
        <scheme val="minor"/>
      </rPr>
      <t xml:space="preserve"> → Gray (cost efficiency)</t>
    </r>
  </si>
  <si>
    <r>
      <t xml:space="preserve">This way, ROI always shows in </t>
    </r>
    <r>
      <rPr>
        <b/>
        <sz val="12"/>
        <color theme="9"/>
        <rFont val="Aptos Narrow"/>
        <family val="2"/>
        <scheme val="minor"/>
      </rPr>
      <t>green tones</t>
    </r>
    <r>
      <rPr>
        <sz val="12"/>
        <color theme="9"/>
        <rFont val="Aptos Narrow"/>
        <family val="2"/>
        <scheme val="minor"/>
      </rPr>
      <t xml:space="preserve"> (aligned with “return” and success), while red can be reserved for negative KPIs like </t>
    </r>
    <r>
      <rPr>
        <i/>
        <sz val="12"/>
        <color theme="9"/>
        <rFont val="Aptos Narrow"/>
        <family val="2"/>
        <scheme val="minor"/>
      </rPr>
      <t>ROI Loss %</t>
    </r>
    <r>
      <rPr>
        <sz val="12"/>
        <color theme="9"/>
        <rFont val="Aptos Narrow"/>
        <family val="2"/>
        <scheme val="minor"/>
      </rPr>
      <t xml:space="preserve"> or </t>
    </r>
    <r>
      <rPr>
        <i/>
        <sz val="12"/>
        <color theme="9"/>
        <rFont val="Aptos Narrow"/>
        <family val="2"/>
        <scheme val="minor"/>
      </rPr>
      <t>Estimated ROI Lost</t>
    </r>
    <r>
      <rPr>
        <sz val="12"/>
        <color theme="9"/>
        <rFont val="Aptos Narrow"/>
        <family val="2"/>
        <scheme val="minor"/>
      </rPr>
      <t>.</t>
    </r>
  </si>
  <si>
    <r>
      <t xml:space="preserve">Would you like me to map out a </t>
    </r>
    <r>
      <rPr>
        <b/>
        <sz val="12"/>
        <color theme="9"/>
        <rFont val="Aptos Narrow"/>
        <family val="2"/>
        <scheme val="minor"/>
      </rPr>
      <t>positive vs. negative ROI color scheme</t>
    </r>
    <r>
      <rPr>
        <sz val="12"/>
        <color theme="9"/>
        <rFont val="Aptos Narrow"/>
        <family val="2"/>
        <scheme val="minor"/>
      </rPr>
      <t xml:space="preserve"> so you can highlight gains in green and losses in red consistently?</t>
    </r>
  </si>
  <si>
    <t>Overview Page</t>
  </si>
  <si>
    <t>Auto Suggested :</t>
  </si>
  <si>
    <t xml:space="preserve"> Which Channel Delivers Best Financial Performance ?</t>
  </si>
  <si>
    <r>
      <t>Regional Performance Analysis</t>
    </r>
    <r>
      <rPr>
        <sz val="12"/>
        <color rgb="FF00B050"/>
        <rFont val="Aptos Narrow"/>
        <family val="2"/>
        <scheme val="minor"/>
      </rPr>
      <t xml:space="preserve"> ➡️ </t>
    </r>
    <r>
      <rPr>
        <i/>
        <sz val="12"/>
        <color rgb="FF00B050"/>
        <rFont val="Aptos Narrow"/>
        <family val="2"/>
        <scheme val="minor"/>
      </rPr>
      <t>“Which Regions Deliver Strongest Results?”</t>
    </r>
  </si>
  <si>
    <t xml:space="preserve">Financially Which Channel Is Performing Best? </t>
  </si>
  <si>
    <r>
      <t>Product Performance Analysis</t>
    </r>
    <r>
      <rPr>
        <sz val="12"/>
        <color rgb="FF00B050"/>
        <rFont val="Aptos Narrow"/>
        <family val="2"/>
        <scheme val="minor"/>
      </rPr>
      <t xml:space="preserve"> ➡️ </t>
    </r>
    <r>
      <rPr>
        <i/>
        <sz val="12"/>
        <color rgb="FF00B050"/>
        <rFont val="Aptos Narrow"/>
        <family val="2"/>
        <scheme val="minor"/>
      </rPr>
      <t>“How Do Products Drive Conversions &amp; Revenue?”</t>
    </r>
  </si>
  <si>
    <t>Which Channel Delivers Best Financial Performance”</t>
  </si>
  <si>
    <r>
      <t>Channel Performance Analysis</t>
    </r>
    <r>
      <rPr>
        <sz val="12"/>
        <color rgb="FF00B050"/>
        <rFont val="Aptos Narrow"/>
        <family val="2"/>
        <scheme val="minor"/>
      </rPr>
      <t xml:space="preserve"> ➡️ </t>
    </r>
    <r>
      <rPr>
        <i/>
        <sz val="12"/>
        <color rgb="FF00B050"/>
        <rFont val="Aptos Narrow"/>
        <family val="2"/>
        <scheme val="minor"/>
      </rPr>
      <t>“Where Marketing Spend Works Most Efficiently?”</t>
    </r>
  </si>
  <si>
    <t>Here is Channel's Efficiency Details/Info..</t>
  </si>
  <si>
    <t>How’re Conversions &amp; Revenue Trending?</t>
  </si>
  <si>
    <t>How're Conversion &amp; Revenue Performance Trend ?</t>
  </si>
  <si>
    <t>How're Conversions &amp; Revenue Trending Over Time ?</t>
  </si>
  <si>
    <t>How Efficiently Different Regions Performed?”</t>
  </si>
  <si>
    <t>Sub-title</t>
  </si>
  <si>
    <t>How Efficiently Did Regions Perform?</t>
  </si>
  <si>
    <t>Copilot</t>
  </si>
  <si>
    <t>How're Regions Finance and Effieciency Performance?</t>
  </si>
  <si>
    <t>How and Efficient Regions are?</t>
  </si>
  <si>
    <t>How Efficiently Different Regions Perfomed?</t>
  </si>
  <si>
    <t>In which Region Most People Convert ?</t>
  </si>
  <si>
    <t>Here's Regional Spend &amp; Revenue Comparison:</t>
  </si>
  <si>
    <t>Spend &amp; Revenue Comparison Across Regions</t>
  </si>
  <si>
    <r>
      <t>direct and descriptive</t>
    </r>
    <r>
      <rPr>
        <sz val="12"/>
        <color theme="1"/>
        <rFont val="Aptos Narrow"/>
        <family val="2"/>
        <scheme val="minor"/>
      </rPr>
      <t>, not storytelling.</t>
    </r>
  </si>
  <si>
    <t>Which Products Benefited Most from Marketing Spend?</t>
  </si>
  <si>
    <t>“Which Products Benefited Most from Spend?”</t>
  </si>
  <si>
    <t xml:space="preserve">How Different Products Performed </t>
  </si>
  <si>
    <t xml:space="preserve"> From Where  Money/Revenue Comes &amp; Spend Across Products ?</t>
  </si>
  <si>
    <t>From Which Products More Money Comes &amp; Goes ?</t>
  </si>
  <si>
    <t>“Where Does Revenue Come From &amp; How Is Spend Split Across Products?”</t>
  </si>
  <si>
    <r>
      <t>“Revenue Sources &amp; Spend Across Products”</t>
    </r>
    <r>
      <rPr>
        <sz val="12"/>
        <color rgb="FF00B050"/>
        <rFont val="Aptos Narrow"/>
        <family val="2"/>
        <scheme val="minor"/>
      </rPr>
      <t xml:space="preserve"> (direct, but still narrative</t>
    </r>
  </si>
  <si>
    <t>&amp; The Products with Highest/Most Conversions are..</t>
  </si>
  <si>
    <t xml:space="preserve">Here's Revenue/$ Spent Split by Products: </t>
  </si>
  <si>
    <t>“Which Channels are Most Efficient?</t>
  </si>
  <si>
    <t>“Which Channels Proved Most Efficient?”</t>
  </si>
  <si>
    <t xml:space="preserve">which Channel is Performing More Efficiently? </t>
  </si>
  <si>
    <t>Which Is Most Efficient Channel?</t>
  </si>
  <si>
    <t xml:space="preserve">Which Channel is Most Efficient ? </t>
  </si>
  <si>
    <t xml:space="preserve"> Which Channels Generated/Has More Revenue Compared to Spend ?</t>
  </si>
  <si>
    <t>How Revenue Generated as Compared to Spend Across Channels ?</t>
  </si>
  <si>
    <t>Which Channel Converts More Customers/People ?</t>
  </si>
  <si>
    <t xml:space="preserve">In Which Channel Most Conversions Happen ?  </t>
  </si>
  <si>
    <t>Which Channels are More Efficient &amp; Cost Effective?</t>
  </si>
  <si>
    <t>Which Channel is More Efficient &amp; Cost Effective?</t>
  </si>
  <si>
    <t xml:space="preserve">Which Chanels are More Efficeient ? </t>
  </si>
  <si>
    <t>“How Efficient &amp; Cost‑Effective Is Each Channel?”</t>
  </si>
  <si>
    <t>“Channels Ranked by Efficiency &amp; Cost‑Effectiveness”</t>
  </si>
  <si>
    <t>“Efficiency &amp; Cost‑Effectiveness Across Channels”</t>
  </si>
  <si>
    <t xml:space="preserve">How're these story headings for 'Regional Performance Analysis' page- "Here's Regional Spend &amp; Revenue Comparison:, </t>
  </si>
  <si>
    <t xml:space="preserve"> Which Regions Generated Highest Returns (ROI) ?, Which Region've Most Conversions ?, Which Region've Highest Revenue/$ Spent ?"</t>
  </si>
  <si>
    <t>for Chart-'Spend, Revenue &amp; Conversions by Region, Conversion Rate % by Region, ROI by Region, Revenue per $ Spent by Region' ?</t>
  </si>
  <si>
    <r>
      <t xml:space="preserve">Your story headings for the </t>
    </r>
    <r>
      <rPr>
        <b/>
        <sz val="12"/>
        <color rgb="FF00B050"/>
        <rFont val="Aptos Narrow"/>
        <family val="2"/>
        <scheme val="minor"/>
      </rPr>
      <t>Regional Performance Analysis</t>
    </r>
    <r>
      <rPr>
        <sz val="12"/>
        <color rgb="FF00B050"/>
        <rFont val="Aptos Narrow"/>
        <family val="2"/>
        <scheme val="minor"/>
      </rPr>
      <t xml:space="preserve"> page are good — they clearly tie to each chart. Here’s a quick polish for clarity and consistency:</t>
    </r>
  </si>
  <si>
    <r>
      <t>Spend &amp; Revenue by Region</t>
    </r>
    <r>
      <rPr>
        <sz val="12"/>
        <color rgb="FF00B050"/>
        <rFont val="Aptos Narrow"/>
        <family val="2"/>
        <scheme val="minor"/>
      </rPr>
      <t xml:space="preserve"> → </t>
    </r>
    <r>
      <rPr>
        <i/>
        <sz val="12"/>
        <color rgb="FF00B050"/>
        <rFont val="Aptos Narrow"/>
        <family val="2"/>
        <scheme val="minor"/>
      </rPr>
      <t>“Regional Spend &amp; Revenue Comparison”</t>
    </r>
  </si>
  <si>
    <t>“Regional Spend &amp; Revenue Comparison” (clean, direct, professional)</t>
  </si>
  <si>
    <t>“How Do Regions Compare on Spend &amp; Revenue?” (storytelling, question‑style)</t>
  </si>
  <si>
    <r>
      <t>ROI by Region</t>
    </r>
    <r>
      <rPr>
        <sz val="12"/>
        <color rgb="FF00B050"/>
        <rFont val="Aptos Narrow"/>
        <family val="2"/>
        <scheme val="minor"/>
      </rPr>
      <t xml:space="preserve"> → </t>
    </r>
    <r>
      <rPr>
        <i/>
        <sz val="12"/>
        <color rgb="FF00B050"/>
        <rFont val="Aptos Narrow"/>
        <family val="2"/>
        <scheme val="minor"/>
      </rPr>
      <t>“Which Regions Generated Highest ROI?”</t>
    </r>
  </si>
  <si>
    <r>
      <t>Revenue per $ Spent by Region</t>
    </r>
    <r>
      <rPr>
        <sz val="12"/>
        <color rgb="FF00B050"/>
        <rFont val="Aptos Narrow"/>
        <family val="2"/>
        <scheme val="minor"/>
      </rPr>
      <t xml:space="preserve"> → </t>
    </r>
    <r>
      <rPr>
        <i/>
        <sz val="12"/>
        <color rgb="FF00B050"/>
        <rFont val="Aptos Narrow"/>
        <family val="2"/>
        <scheme val="minor"/>
      </rPr>
      <t>“Which Region Achieved Highest Efficiency?”</t>
    </r>
  </si>
  <si>
    <t>👉 Why this works:</t>
  </si>
  <si>
    <t>Each heading directly matches the chart’s purpose.</t>
  </si>
  <si>
    <r>
      <t xml:space="preserve">Wording is concise, professional, and avoids casual contractions like </t>
    </r>
    <r>
      <rPr>
        <i/>
        <sz val="12"/>
        <color rgb="FF00B050"/>
        <rFont val="Aptos Narrow"/>
        <family val="2"/>
        <scheme val="minor"/>
      </rPr>
      <t>“Region’ve”</t>
    </r>
    <r>
      <rPr>
        <sz val="12"/>
        <color rgb="FF00B050"/>
        <rFont val="Aptos Narrow"/>
        <family val="2"/>
        <scheme val="minor"/>
      </rPr>
      <t>.</t>
    </r>
  </si>
  <si>
    <t>Keeps a consistent question/statement style across all charts.</t>
  </si>
  <si>
    <r>
      <t xml:space="preserve">So yes, your headings are on the right track — just tighten the phrasing for readability and executive polish. Would you like me to also suggest a </t>
    </r>
    <r>
      <rPr>
        <b/>
        <sz val="12"/>
        <color rgb="FF00B050"/>
        <rFont val="Aptos Narrow"/>
        <family val="2"/>
        <scheme val="minor"/>
      </rPr>
      <t>uniform style</t>
    </r>
    <r>
      <rPr>
        <sz val="12"/>
        <color rgb="FF00B050"/>
        <rFont val="Aptos Narrow"/>
        <family val="2"/>
        <scheme val="minor"/>
      </rPr>
      <t xml:space="preserve"> (all as questions OR all as statements) so the page looks perfectly aligned?</t>
    </r>
  </si>
  <si>
    <t>How're these story headings for 'Product Performance Analysis' page- " From Where Money/Revenue Comes &amp; Spend Across Products ?,</t>
  </si>
  <si>
    <t xml:space="preserve"> Which Products're More Efficient in terms of Returns (ROI) ?, &amp; The Products with Highest Conversions are.. , Here's Revenue/$ Spent Split by Products: " </t>
  </si>
  <si>
    <t>for Chart-'Spend, Revenue by Product, Conversion Rate % by Product, ROI by Product, Revenue per $ Spent by Product' H</t>
  </si>
  <si>
    <r>
      <t xml:space="preserve">Your story headings for the </t>
    </r>
    <r>
      <rPr>
        <b/>
        <sz val="12"/>
        <color rgb="FF00B050"/>
        <rFont val="Aptos Narrow"/>
        <family val="2"/>
        <scheme val="minor"/>
      </rPr>
      <t>Product Performance Analysis</t>
    </r>
    <r>
      <rPr>
        <sz val="12"/>
        <color rgb="FF00B050"/>
        <rFont val="Aptos Narrow"/>
        <family val="2"/>
        <scheme val="minor"/>
      </rPr>
      <t xml:space="preserve"> page are on the right track — they connect directly to each chart. They just need a little polish for clarity, consistency, and executive tone:</t>
    </r>
  </si>
  <si>
    <r>
      <t>Spend &amp; Revenue by Product</t>
    </r>
    <r>
      <rPr>
        <sz val="12"/>
        <color rgb="FF00B050"/>
        <rFont val="Aptos Narrow"/>
        <family val="2"/>
        <scheme val="minor"/>
      </rPr>
      <t xml:space="preserve"> → </t>
    </r>
    <r>
      <rPr>
        <i/>
        <sz val="12"/>
        <color rgb="FF00B050"/>
        <rFont val="Aptos Narrow"/>
        <family val="2"/>
        <scheme val="minor"/>
      </rPr>
      <t>“Where Does Revenue Come From &amp; How Is Spend Distributed Across Products?”</t>
    </r>
  </si>
  <si>
    <r>
      <t>ROI by Product</t>
    </r>
    <r>
      <rPr>
        <sz val="12"/>
        <color rgb="FF00B050"/>
        <rFont val="Aptos Narrow"/>
        <family val="2"/>
        <scheme val="minor"/>
      </rPr>
      <t xml:space="preserve"> → </t>
    </r>
    <r>
      <rPr>
        <i/>
        <sz val="12"/>
        <color rgb="FF00B050"/>
        <rFont val="Aptos Narrow"/>
        <family val="2"/>
        <scheme val="minor"/>
      </rPr>
      <t>“Which Products Are Most Efficient in Terms of ROI?”</t>
    </r>
  </si>
  <si>
    <r>
      <t>Conversions by Product</t>
    </r>
    <r>
      <rPr>
        <sz val="12"/>
        <color rgb="FF00B050"/>
        <rFont val="Aptos Narrow"/>
        <family val="2"/>
        <scheme val="minor"/>
      </rPr>
      <t xml:space="preserve"> → </t>
    </r>
    <r>
      <rPr>
        <i/>
        <sz val="12"/>
        <color rgb="FF00B050"/>
        <rFont val="Aptos Narrow"/>
        <family val="2"/>
        <scheme val="minor"/>
      </rPr>
      <t>“Which Products Drive the Highest Conversions?”</t>
    </r>
  </si>
  <si>
    <r>
      <t>Revenue per $ Spent by Product</t>
    </r>
    <r>
      <rPr>
        <sz val="12"/>
        <color rgb="FF00B050"/>
        <rFont val="Aptos Narrow"/>
        <family val="2"/>
        <scheme val="minor"/>
      </rPr>
      <t xml:space="preserve"> → </t>
    </r>
    <r>
      <rPr>
        <i/>
        <sz val="12"/>
        <color rgb="FF00B050"/>
        <rFont val="Aptos Narrow"/>
        <family val="2"/>
        <scheme val="minor"/>
      </rPr>
      <t>“Which Products Deliver the Best Return per $ Spent?”</t>
    </r>
  </si>
  <si>
    <t>Each heading is concise and professional.</t>
  </si>
  <si>
    <r>
      <t xml:space="preserve">Avoids casual contractions like </t>
    </r>
    <r>
      <rPr>
        <i/>
        <sz val="12"/>
        <color rgb="FF00B050"/>
        <rFont val="Aptos Narrow"/>
        <family val="2"/>
        <scheme val="minor"/>
      </rPr>
      <t>“Products’re”</t>
    </r>
    <r>
      <rPr>
        <sz val="12"/>
        <color rgb="FF00B050"/>
        <rFont val="Aptos Narrow"/>
        <family val="2"/>
        <scheme val="minor"/>
      </rPr>
      <t xml:space="preserve"> or </t>
    </r>
    <r>
      <rPr>
        <i/>
        <sz val="12"/>
        <color rgb="FF00B050"/>
        <rFont val="Aptos Narrow"/>
        <family val="2"/>
        <scheme val="minor"/>
      </rPr>
      <t>“are..”</t>
    </r>
    <r>
      <rPr>
        <sz val="12"/>
        <color rgb="FF00B050"/>
        <rFont val="Aptos Narrow"/>
        <family val="2"/>
        <scheme val="minor"/>
      </rPr>
      <t>.</t>
    </r>
  </si>
  <si>
    <t>So: ✅ Your headings are conceptually correct — just tighten the wording for polish.</t>
  </si>
  <si>
    <r>
      <t xml:space="preserve">Would you like me to also align these with your </t>
    </r>
    <r>
      <rPr>
        <b/>
        <sz val="12"/>
        <color rgb="FF00B050"/>
        <rFont val="Aptos Narrow"/>
        <family val="2"/>
        <scheme val="minor"/>
      </rPr>
      <t>Regional Performance Analysis</t>
    </r>
    <r>
      <rPr>
        <sz val="12"/>
        <color rgb="FF00B050"/>
        <rFont val="Aptos Narrow"/>
        <family val="2"/>
        <scheme val="minor"/>
      </rPr>
      <t xml:space="preserve"> headings so both pages follow one uniform storytelling style?</t>
    </r>
  </si>
  <si>
    <r>
      <t xml:space="preserve">Reason:  Limited Options available (Excel Free Version),  so </t>
    </r>
    <r>
      <rPr>
        <b/>
        <sz val="14"/>
        <color theme="1"/>
        <rFont val="Aptos Narrow"/>
        <family val="2"/>
        <scheme val="minor"/>
      </rPr>
      <t>Manully</t>
    </r>
    <r>
      <rPr>
        <sz val="14"/>
        <color theme="1"/>
        <rFont val="Aptos Narrow"/>
        <family val="2"/>
        <scheme val="minor"/>
      </rPr>
      <t xml:space="preserve"> done many calculations &amp; settled connections caused this.</t>
    </r>
  </si>
  <si>
    <r>
      <t xml:space="preserve">NOTE:  Red for </t>
    </r>
    <r>
      <rPr>
        <b/>
        <sz val="12"/>
        <color rgb="FF4EA72E"/>
        <rFont val="Aptos Narrow"/>
        <family val="2"/>
        <scheme val="minor"/>
      </rPr>
      <t>ROI</t>
    </r>
    <r>
      <rPr>
        <sz val="12"/>
        <color rgb="FF4EA72E"/>
        <rFont val="Aptos Narrow"/>
        <family val="2"/>
        <scheme val="minor"/>
      </rPr>
      <t xml:space="preserve"> isn’t the best choice — it usually signals </t>
    </r>
    <r>
      <rPr>
        <i/>
        <sz val="12"/>
        <color rgb="FF4EA72E"/>
        <rFont val="Aptos Narrow"/>
        <family val="2"/>
        <scheme val="minor"/>
      </rPr>
      <t>loss, danger, or negative performance</t>
    </r>
    <r>
      <rPr>
        <sz val="12"/>
        <color rgb="FF4EA72E"/>
        <rFont val="Aptos Narrow"/>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</si>
</sst>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0"/>
    <numFmt numFmtId="166" formatCode="_-[$$-409]* #,##0_ ;_-[$$-409]* \-#,##0\ ;_-[$$-409]* &quot;-&quot;??_ ;_-@_ "/>
  </numFmts>
  <fonts count="51" x14ac:knownFonts="1">
    <font>
      <sz val="11"/>
      <color theme="1"/>
      <name val="Aptos Narrow"/>
      <family val="2"/>
      <scheme val="minor"/>
    </font>
    <font>
      <sz val="12"/>
      <color theme="1"/>
      <name val="Aptos Narrow"/>
      <family val="2"/>
      <scheme val="minor"/>
    </font>
    <font>
      <b/>
      <sz val="14"/>
      <color theme="0"/>
      <name val="Aptos Narrow"/>
      <family val="2"/>
      <scheme val="minor"/>
    </font>
    <font>
      <sz val="12"/>
      <color theme="1"/>
      <name val="Aptos"/>
      <family val="2"/>
    </font>
    <font>
      <b/>
      <sz val="12"/>
      <color theme="1"/>
      <name val="Aptos"/>
      <family val="2"/>
    </font>
    <font>
      <b/>
      <sz val="16"/>
      <color theme="1"/>
      <name val="Aptos"/>
      <family val="2"/>
    </font>
    <font>
      <b/>
      <sz val="14"/>
      <color rgb="FF156082"/>
      <name val="Aptos"/>
      <family val="2"/>
    </font>
    <font>
      <b/>
      <sz val="14"/>
      <color rgb="FF4EA72E"/>
      <name val="Aptos"/>
      <family val="2"/>
    </font>
    <font>
      <b/>
      <sz val="14"/>
      <color rgb="FFE97132"/>
      <name val="Aptos"/>
      <family val="2"/>
    </font>
    <font>
      <b/>
      <sz val="14"/>
      <color rgb="FFEE0000"/>
      <name val="Aptos"/>
      <family val="2"/>
    </font>
    <font>
      <b/>
      <sz val="12"/>
      <color theme="1"/>
      <name val="Aptos Narrow"/>
      <family val="2"/>
      <scheme val="minor"/>
    </font>
    <font>
      <b/>
      <sz val="16"/>
      <color theme="1"/>
      <name val="Aptos Narrow"/>
      <family val="2"/>
      <scheme val="minor"/>
    </font>
    <font>
      <b/>
      <sz val="12"/>
      <color theme="4"/>
      <name val="Aptos Narrow"/>
      <family val="2"/>
      <scheme val="minor"/>
    </font>
    <font>
      <sz val="11"/>
      <color theme="4"/>
      <name val="Aptos Narrow"/>
      <family val="2"/>
      <scheme val="minor"/>
    </font>
    <font>
      <sz val="12"/>
      <color rgb="FFFF0000"/>
      <name val="Aptos Narrow"/>
      <family val="2"/>
      <scheme val="minor"/>
    </font>
    <font>
      <b/>
      <sz val="14"/>
      <color rgb="FFC00000"/>
      <name val="Aptos Narrow"/>
      <family val="2"/>
      <scheme val="minor"/>
    </font>
    <font>
      <sz val="11"/>
      <color rgb="FFFF0000"/>
      <name val="Aptos Narrow"/>
      <family val="2"/>
      <scheme val="minor"/>
    </font>
    <font>
      <b/>
      <sz val="11"/>
      <color theme="1"/>
      <name val="Aptos Narrow"/>
      <family val="2"/>
      <scheme val="minor"/>
    </font>
    <font>
      <sz val="11"/>
      <color rgb="FF00B050"/>
      <name val="Aptos Narrow"/>
      <family val="2"/>
      <scheme val="minor"/>
    </font>
    <font>
      <b/>
      <sz val="11"/>
      <color rgb="FF00B050"/>
      <name val="Aptos Narrow"/>
      <family val="2"/>
      <scheme val="minor"/>
    </font>
    <font>
      <b/>
      <sz val="11"/>
      <color rgb="FF00B050"/>
      <name val="Consolas"/>
      <family val="3"/>
    </font>
    <font>
      <b/>
      <sz val="11"/>
      <color rgb="FF000000"/>
      <name val="Aptos Narrow"/>
      <family val="2"/>
      <scheme val="minor"/>
    </font>
    <font>
      <b/>
      <sz val="11"/>
      <color theme="4"/>
      <name val="Aptos Narrow"/>
      <family val="2"/>
      <scheme val="minor"/>
    </font>
    <font>
      <b/>
      <sz val="11"/>
      <color theme="9"/>
      <name val="Aptos Narrow"/>
      <family val="2"/>
      <scheme val="minor"/>
    </font>
    <font>
      <sz val="12"/>
      <color rgb="FF00B050"/>
      <name val="Aptos Narrow"/>
      <family val="2"/>
      <scheme val="minor"/>
    </font>
    <font>
      <b/>
      <sz val="12"/>
      <color rgb="FF00B050"/>
      <name val="Aptos Narrow"/>
      <family val="2"/>
      <scheme val="minor"/>
    </font>
    <font>
      <sz val="12"/>
      <color theme="9"/>
      <name val="Aptos Narrow"/>
      <family val="2"/>
      <scheme val="minor"/>
    </font>
    <font>
      <b/>
      <sz val="12"/>
      <color theme="9"/>
      <name val="Aptos Narrow"/>
      <family val="2"/>
      <scheme val="minor"/>
    </font>
    <font>
      <sz val="11"/>
      <color rgb="FF242424"/>
      <name val="Aptos Narrow"/>
      <family val="2"/>
    </font>
    <font>
      <sz val="12"/>
      <color theme="5"/>
      <name val="Aptos Narrow"/>
      <family val="2"/>
      <scheme val="minor"/>
    </font>
    <font>
      <b/>
      <sz val="12"/>
      <color theme="5"/>
      <name val="Aptos Narrow"/>
      <family val="2"/>
      <scheme val="minor"/>
    </font>
    <font>
      <b/>
      <sz val="14"/>
      <color theme="1"/>
      <name val="Aptos Narrow"/>
      <family val="2"/>
      <scheme val="minor"/>
    </font>
    <font>
      <i/>
      <sz val="12"/>
      <color rgb="FF00B050"/>
      <name val="Aptos Narrow"/>
      <family val="2"/>
      <scheme val="minor"/>
    </font>
    <font>
      <b/>
      <sz val="12"/>
      <color theme="4"/>
      <name val="Aptos Narrow"/>
      <family val="2"/>
    </font>
    <font>
      <i/>
      <sz val="12"/>
      <color theme="5"/>
      <name val="Aptos Narrow"/>
      <family val="2"/>
      <scheme val="minor"/>
    </font>
    <font>
      <sz val="12"/>
      <color rgb="FF000000"/>
      <name val="Aptos"/>
      <family val="2"/>
    </font>
    <font>
      <b/>
      <sz val="12"/>
      <color rgb="FF000000"/>
      <name val="Aptos"/>
      <family val="2"/>
    </font>
    <font>
      <i/>
      <sz val="12"/>
      <color theme="9"/>
      <name val="Aptos Narrow"/>
      <family val="2"/>
      <scheme val="minor"/>
    </font>
    <font>
      <sz val="12"/>
      <color rgb="FF4EA72E"/>
      <name val="Aptos Narrow"/>
      <family val="2"/>
      <scheme val="minor"/>
    </font>
    <font>
      <b/>
      <sz val="12"/>
      <color rgb="FF4EA72E"/>
      <name val="Aptos Narrow"/>
      <family val="2"/>
      <scheme val="minor"/>
    </font>
    <font>
      <i/>
      <sz val="12"/>
      <color rgb="FF4EA72E"/>
      <name val="Aptos Narrow"/>
      <family val="2"/>
      <scheme val="minor"/>
    </font>
    <font>
      <b/>
      <sz val="14"/>
      <color rgb="FF595959"/>
      <name val="Aptos Narrow"/>
      <family val="2"/>
      <scheme val="minor"/>
    </font>
    <font>
      <sz val="14"/>
      <color theme="1"/>
      <name val="Aptos Narrow"/>
      <family val="2"/>
      <scheme val="minor"/>
    </font>
    <font>
      <b/>
      <i/>
      <sz val="14"/>
      <color theme="1"/>
      <name val="Aptos Narrow"/>
      <family val="2"/>
      <scheme val="minor"/>
    </font>
    <font>
      <b/>
      <sz val="14"/>
      <color theme="4"/>
      <name val="Aptos Narrow"/>
      <family val="2"/>
      <scheme val="minor"/>
    </font>
    <font>
      <sz val="14"/>
      <color theme="1"/>
      <name val="Aptos Narrow"/>
      <family val="2"/>
      <scheme val="minor"/>
    </font>
    <font>
      <sz val="14"/>
      <color rgb="FF000000"/>
      <name val="Aptos Narrow"/>
      <family val="2"/>
      <scheme val="minor"/>
    </font>
    <font>
      <sz val="14"/>
      <color rgb="FFFF0000"/>
      <name val="Aptos Narrow"/>
      <family val="2"/>
      <scheme val="minor"/>
    </font>
    <font>
      <sz val="14"/>
      <color rgb="FF000000"/>
      <name val="Aptos Narrow"/>
      <family val="2"/>
    </font>
    <font>
      <sz val="14"/>
      <color rgb="FFFF0000"/>
      <name val="Aptos Narrow"/>
      <family val="2"/>
    </font>
    <font>
      <b/>
      <sz val="16"/>
      <color rgb="FF00B050"/>
      <name val="Aptos Narrow"/>
      <family val="2"/>
      <scheme val="minor"/>
    </font>
  </fonts>
  <fills count="9">
    <fill>
      <patternFill patternType="none"/>
    </fill>
    <fill>
      <patternFill patternType="gray125"/>
    </fill>
    <fill>
      <patternFill patternType="solid">
        <fgColor theme="7" tint="0.79998168889431442"/>
        <bgColor theme="7" tint="0.79998168889431442"/>
      </patternFill>
    </fill>
    <fill>
      <patternFill patternType="solid">
        <fgColor theme="7"/>
        <bgColor theme="7"/>
      </patternFill>
    </fill>
    <fill>
      <patternFill patternType="solid">
        <fgColor theme="4" tint="0.79998168889431442"/>
        <bgColor theme="4" tint="0.79998168889431442"/>
      </patternFill>
    </fill>
    <fill>
      <patternFill patternType="solid">
        <fgColor theme="9"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rgb="FFFFFF00"/>
        <bgColor indexed="64"/>
      </patternFill>
    </fill>
  </fills>
  <borders count="16">
    <border>
      <left/>
      <right/>
      <top/>
      <bottom/>
      <diagonal/>
    </border>
    <border>
      <left style="thin">
        <color theme="7" tint="0.39997558519241921"/>
      </left>
      <right/>
      <top style="thin">
        <color theme="7" tint="0.39997558519241921"/>
      </top>
      <bottom style="thin">
        <color theme="7" tint="0.39997558519241921"/>
      </bottom>
      <diagonal/>
    </border>
    <border>
      <left/>
      <right/>
      <top style="thin">
        <color theme="7" tint="0.39997558519241921"/>
      </top>
      <bottom style="thin">
        <color theme="7" tint="0.3999755851924192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bottom style="thin">
        <color auto="1"/>
      </bottom>
      <diagonal/>
    </border>
    <border>
      <left/>
      <right/>
      <top/>
      <bottom style="thin">
        <color theme="7" tint="0.39997558519241921"/>
      </bottom>
      <diagonal/>
    </border>
    <border>
      <left/>
      <right/>
      <top style="thin">
        <color theme="7" tint="0.39997558519241921"/>
      </top>
      <bottom/>
      <diagonal/>
    </border>
    <border>
      <left/>
      <right/>
      <top/>
      <bottom style="thin">
        <color theme="4" tint="0.39997558519241921"/>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style="thin">
        <color theme="4" tint="0.39997558519241921"/>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91">
    <xf numFmtId="0" fontId="0" fillId="0" borderId="0" xfId="0"/>
    <xf numFmtId="14" fontId="1" fillId="2" borderId="1" xfId="0" applyNumberFormat="1" applyFont="1" applyFill="1" applyBorder="1"/>
    <xf numFmtId="0" fontId="1" fillId="2" borderId="2" xfId="0" applyFont="1" applyFill="1" applyBorder="1"/>
    <xf numFmtId="9" fontId="1" fillId="2" borderId="3" xfId="0" applyNumberFormat="1" applyFont="1" applyFill="1" applyBorder="1"/>
    <xf numFmtId="14" fontId="1" fillId="0" borderId="1" xfId="0" applyNumberFormat="1" applyFont="1" applyBorder="1"/>
    <xf numFmtId="0" fontId="1" fillId="0" borderId="2" xfId="0" applyFont="1" applyBorder="1"/>
    <xf numFmtId="0" fontId="4" fillId="0" borderId="0" xfId="0" applyFont="1" applyAlignment="1">
      <alignment vertical="center"/>
    </xf>
    <xf numFmtId="0" fontId="3" fillId="0" borderId="0" xfId="0" applyFont="1" applyAlignment="1">
      <alignment vertical="center"/>
    </xf>
    <xf numFmtId="0" fontId="3" fillId="0" borderId="0" xfId="0" applyFont="1" applyAlignment="1">
      <alignment horizontal="left" vertical="center" indent="1"/>
    </xf>
    <xf numFmtId="0" fontId="5" fillId="0" borderId="0" xfId="0" applyFont="1" applyAlignment="1">
      <alignment vertical="center"/>
    </xf>
    <xf numFmtId="0" fontId="6" fillId="0" borderId="0" xfId="0" applyFont="1" applyAlignment="1">
      <alignment vertical="center"/>
    </xf>
    <xf numFmtId="0" fontId="4" fillId="0" borderId="0" xfId="0" applyFont="1" applyAlignment="1">
      <alignment horizontal="left" vertical="center" indent="1"/>
    </xf>
    <xf numFmtId="0" fontId="3" fillId="0" borderId="0" xfId="0" applyFont="1" applyAlignment="1">
      <alignment horizontal="left" vertical="center" indent="2"/>
    </xf>
    <xf numFmtId="0" fontId="2" fillId="3" borderId="4" xfId="0" applyFont="1" applyFill="1" applyBorder="1" applyAlignment="1">
      <alignment horizontal="center" vertical="top"/>
    </xf>
    <xf numFmtId="0" fontId="0" fillId="0" borderId="0" xfId="0" pivotButton="1"/>
    <xf numFmtId="0" fontId="11" fillId="0" borderId="0" xfId="0" applyFont="1"/>
    <xf numFmtId="0" fontId="12" fillId="0" borderId="0" xfId="0" applyFont="1"/>
    <xf numFmtId="0" fontId="13" fillId="0" borderId="0" xfId="0" applyFont="1"/>
    <xf numFmtId="1" fontId="0" fillId="0" borderId="0" xfId="0" applyNumberFormat="1"/>
    <xf numFmtId="0" fontId="1" fillId="0" borderId="5" xfId="0" applyFont="1" applyBorder="1"/>
    <xf numFmtId="0" fontId="1" fillId="0" borderId="6" xfId="0" applyFont="1" applyBorder="1"/>
    <xf numFmtId="164" fontId="1" fillId="0" borderId="5" xfId="0" applyNumberFormat="1" applyFont="1" applyBorder="1"/>
    <xf numFmtId="164" fontId="1" fillId="0" borderId="2" xfId="0" applyNumberFormat="1" applyFont="1" applyBorder="1"/>
    <xf numFmtId="164" fontId="1" fillId="0" borderId="6" xfId="0" applyNumberFormat="1" applyFont="1" applyBorder="1"/>
    <xf numFmtId="0" fontId="1" fillId="0" borderId="0" xfId="0" applyFont="1"/>
    <xf numFmtId="0" fontId="1" fillId="0" borderId="0" xfId="0" applyFont="1" applyAlignment="1">
      <alignment horizontal="left" vertical="center" indent="1"/>
    </xf>
    <xf numFmtId="0" fontId="14" fillId="0" borderId="0" xfId="0" applyFont="1"/>
    <xf numFmtId="0" fontId="15" fillId="0" borderId="0" xfId="0" applyFont="1"/>
    <xf numFmtId="0" fontId="16" fillId="0" borderId="0" xfId="0" applyFont="1"/>
    <xf numFmtId="0" fontId="17" fillId="4" borderId="7" xfId="0" applyFont="1" applyFill="1" applyBorder="1"/>
    <xf numFmtId="0" fontId="19" fillId="0" borderId="8" xfId="0" applyFont="1" applyBorder="1"/>
    <xf numFmtId="2" fontId="19" fillId="0" borderId="9" xfId="0" applyNumberFormat="1" applyFont="1" applyBorder="1"/>
    <xf numFmtId="0" fontId="20" fillId="0" borderId="10" xfId="0" applyFont="1" applyBorder="1"/>
    <xf numFmtId="2" fontId="19" fillId="0" borderId="11" xfId="0" applyNumberFormat="1" applyFont="1" applyBorder="1"/>
    <xf numFmtId="0" fontId="21" fillId="4" borderId="12" xfId="0" applyFont="1" applyFill="1" applyBorder="1"/>
    <xf numFmtId="2" fontId="18" fillId="0" borderId="13" xfId="0" applyNumberFormat="1" applyFont="1" applyBorder="1"/>
    <xf numFmtId="2" fontId="18" fillId="0" borderId="14" xfId="0" applyNumberFormat="1" applyFont="1" applyBorder="1"/>
    <xf numFmtId="164" fontId="0" fillId="0" borderId="0" xfId="0" applyNumberFormat="1"/>
    <xf numFmtId="0" fontId="22" fillId="0" borderId="0" xfId="0" applyFont="1"/>
    <xf numFmtId="0" fontId="23" fillId="0" borderId="0" xfId="0" applyFont="1"/>
    <xf numFmtId="0" fontId="23" fillId="0" borderId="0" xfId="0" quotePrefix="1" applyFont="1"/>
    <xf numFmtId="9" fontId="0" fillId="0" borderId="0" xfId="0" applyNumberFormat="1"/>
    <xf numFmtId="0" fontId="17" fillId="0" borderId="0" xfId="0" applyFont="1"/>
    <xf numFmtId="0" fontId="24" fillId="0" borderId="0" xfId="0" applyFont="1"/>
    <xf numFmtId="0" fontId="25" fillId="0" borderId="0" xfId="0" applyFont="1"/>
    <xf numFmtId="0" fontId="26" fillId="0" borderId="0" xfId="0" applyFont="1"/>
    <xf numFmtId="0" fontId="27" fillId="0" borderId="0" xfId="0" applyFont="1"/>
    <xf numFmtId="0" fontId="16" fillId="0" borderId="15" xfId="0" pivotButton="1" applyFont="1" applyBorder="1"/>
    <xf numFmtId="0" fontId="16" fillId="0" borderId="15" xfId="0" applyFont="1" applyBorder="1"/>
    <xf numFmtId="9" fontId="27" fillId="0" borderId="15" xfId="0" applyNumberFormat="1" applyFont="1" applyBorder="1"/>
    <xf numFmtId="1" fontId="16" fillId="0" borderId="15" xfId="0" applyNumberFormat="1" applyFont="1" applyBorder="1"/>
    <xf numFmtId="164" fontId="18" fillId="0" borderId="13" xfId="0" applyNumberFormat="1" applyFont="1" applyBorder="1"/>
    <xf numFmtId="164" fontId="16" fillId="0" borderId="15" xfId="0" applyNumberFormat="1" applyFont="1" applyBorder="1"/>
    <xf numFmtId="0" fontId="21" fillId="4" borderId="15" xfId="0" applyFont="1" applyFill="1" applyBorder="1"/>
    <xf numFmtId="164" fontId="1" fillId="0" borderId="0" xfId="0" applyNumberFormat="1" applyFont="1"/>
    <xf numFmtId="0" fontId="17" fillId="4" borderId="0" xfId="0" applyFont="1" applyFill="1"/>
    <xf numFmtId="165" fontId="0" fillId="0" borderId="0" xfId="0" applyNumberFormat="1"/>
    <xf numFmtId="9" fontId="0" fillId="0" borderId="0" xfId="0" applyNumberFormat="1" applyAlignment="1">
      <alignment wrapText="1"/>
    </xf>
    <xf numFmtId="0" fontId="28" fillId="0" borderId="0" xfId="0" applyFont="1"/>
    <xf numFmtId="0" fontId="25" fillId="0" borderId="0" xfId="0" quotePrefix="1" applyFont="1"/>
    <xf numFmtId="0" fontId="17" fillId="5" borderId="7" xfId="0" applyFont="1" applyFill="1" applyBorder="1"/>
    <xf numFmtId="9" fontId="0" fillId="5" borderId="0" xfId="0" applyNumberFormat="1" applyFill="1"/>
    <xf numFmtId="164" fontId="0" fillId="5" borderId="0" xfId="0" applyNumberFormat="1" applyFill="1"/>
    <xf numFmtId="0" fontId="29" fillId="0" borderId="0" xfId="0" applyFont="1"/>
    <xf numFmtId="0" fontId="30" fillId="0" borderId="0" xfId="0" applyFont="1"/>
    <xf numFmtId="0" fontId="31" fillId="6" borderId="15" xfId="0" applyFont="1" applyFill="1" applyBorder="1"/>
    <xf numFmtId="0" fontId="33" fillId="0" borderId="0" xfId="0" applyFont="1"/>
    <xf numFmtId="0" fontId="35" fillId="0" borderId="0" xfId="0" applyFont="1" applyAlignment="1">
      <alignment vertical="center"/>
    </xf>
    <xf numFmtId="0" fontId="26" fillId="0" borderId="0" xfId="0" applyFont="1" applyAlignment="1">
      <alignment horizontal="left" vertical="center" indent="1"/>
    </xf>
    <xf numFmtId="0" fontId="27" fillId="0" borderId="0" xfId="0" applyFont="1" applyAlignment="1">
      <alignment horizontal="left" vertical="center" indent="1"/>
    </xf>
    <xf numFmtId="0" fontId="25" fillId="5" borderId="0" xfId="0" applyFont="1" applyFill="1"/>
    <xf numFmtId="0" fontId="22" fillId="7" borderId="15" xfId="0" applyFont="1" applyFill="1" applyBorder="1"/>
    <xf numFmtId="0" fontId="41" fillId="0" borderId="0" xfId="0" applyFont="1" applyAlignment="1">
      <alignment horizontal="center" vertical="center" readingOrder="1"/>
    </xf>
    <xf numFmtId="0" fontId="31" fillId="0" borderId="0" xfId="0" applyFont="1"/>
    <xf numFmtId="0" fontId="0" fillId="7" borderId="0" xfId="0" applyFill="1"/>
    <xf numFmtId="0" fontId="0" fillId="0" borderId="0" xfId="0" applyAlignment="1">
      <alignment horizontal="center"/>
    </xf>
    <xf numFmtId="0" fontId="42" fillId="0" borderId="0" xfId="0" applyFont="1"/>
    <xf numFmtId="0" fontId="42" fillId="8" borderId="0" xfId="0" applyFont="1" applyFill="1"/>
    <xf numFmtId="0" fontId="43" fillId="0" borderId="0" xfId="0" applyFont="1"/>
    <xf numFmtId="0" fontId="17" fillId="8" borderId="0" xfId="0" applyFont="1" applyFill="1"/>
    <xf numFmtId="0" fontId="0" fillId="8" borderId="0" xfId="0" applyFill="1"/>
    <xf numFmtId="0" fontId="44" fillId="0" borderId="0" xfId="0" applyFont="1"/>
    <xf numFmtId="0" fontId="24" fillId="0" borderId="0" xfId="0" applyFont="1" applyAlignment="1">
      <alignment horizontal="left" vertical="center" indent="1"/>
    </xf>
    <xf numFmtId="0" fontId="25" fillId="0" borderId="0" xfId="0" applyFont="1" applyAlignment="1">
      <alignment horizontal="left" vertical="center" indent="1"/>
    </xf>
    <xf numFmtId="0" fontId="10" fillId="6" borderId="0" xfId="0" applyFont="1" applyFill="1"/>
    <xf numFmtId="0" fontId="0" fillId="6" borderId="0" xfId="0" applyFill="1"/>
    <xf numFmtId="0" fontId="31" fillId="8" borderId="0" xfId="0" applyFont="1" applyFill="1"/>
    <xf numFmtId="166" fontId="0" fillId="5" borderId="0" xfId="0" applyNumberFormat="1" applyFill="1"/>
    <xf numFmtId="0" fontId="38" fillId="0" borderId="0" xfId="0" applyFont="1"/>
    <xf numFmtId="0" fontId="45" fillId="0" borderId="0" xfId="0" applyFont="1"/>
    <xf numFmtId="0" fontId="49" fillId="0" borderId="0" xfId="0" applyFont="1"/>
  </cellXfs>
  <cellStyles count="1">
    <cellStyle name="Normal" xfId="0" builtinId="0"/>
  </cellStyles>
  <dxfs count="102">
    <dxf>
      <numFmt numFmtId="13" formatCode="0%"/>
    </dxf>
    <dxf>
      <numFmt numFmtId="13" formatCode="0%"/>
    </dxf>
    <dxf>
      <numFmt numFmtId="1" formatCode="0"/>
    </dxf>
    <dxf>
      <numFmt numFmtId="1" formatCode="0"/>
    </dxf>
    <dxf>
      <numFmt numFmtId="1" formatCode="0"/>
    </dxf>
    <dxf>
      <numFmt numFmtId="13" formatCode="0%"/>
    </dxf>
    <dxf>
      <numFmt numFmtId="13" formatCode="0%"/>
    </dxf>
    <dxf>
      <numFmt numFmtId="1" formatCode="0"/>
    </dxf>
    <dxf>
      <numFmt numFmtId="1" formatCode="0"/>
    </dxf>
    <dxf>
      <numFmt numFmtId="0" formatCode="General"/>
    </dxf>
    <dxf>
      <numFmt numFmtId="1" formatCode="0"/>
    </dxf>
    <dxf>
      <numFmt numFmtId="1" formatCode="0"/>
    </dxf>
    <dxf>
      <numFmt numFmtId="1" formatCode="0"/>
    </dxf>
    <dxf>
      <numFmt numFmtId="164" formatCode="&quot;$&quot;#,##0.00"/>
    </dxf>
    <dxf>
      <numFmt numFmtId="13" formatCode="0%"/>
    </dxf>
    <dxf>
      <numFmt numFmtId="1" formatCode="0"/>
    </dxf>
    <dxf>
      <numFmt numFmtId="1" formatCode="0"/>
    </dxf>
    <dxf>
      <numFmt numFmtId="0" formatCode="General"/>
    </dxf>
    <dxf>
      <numFmt numFmtId="13" formatCode="0%"/>
    </dxf>
    <dxf>
      <numFmt numFmtId="1" formatCode="0"/>
    </dxf>
    <dxf>
      <numFmt numFmtId="1" formatCode="0"/>
    </dxf>
    <dxf>
      <numFmt numFmtId="165" formatCode="&quot;$&quot;#,##0"/>
    </dxf>
    <dxf>
      <numFmt numFmtId="165" formatCode="&quot;$&quot;#,##0"/>
    </dxf>
    <dxf>
      <numFmt numFmtId="1" formatCode="0"/>
    </dxf>
    <dxf>
      <numFmt numFmtId="1" formatCode="0"/>
    </dxf>
    <dxf>
      <numFmt numFmtId="1" formatCode="0"/>
    </dxf>
    <dxf>
      <numFmt numFmtId="164" formatCode="&quot;$&quot;#,##0.00"/>
    </dxf>
    <dxf>
      <numFmt numFmtId="13" formatCode="0%"/>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font>
        <color rgb="FFFF0000"/>
      </font>
    </dxf>
    <dxf>
      <font>
        <color rgb="FFFF0000"/>
      </font>
    </dxf>
    <dxf>
      <font>
        <color rgb="FFFF0000"/>
      </font>
    </dxf>
    <dxf>
      <font>
        <color rgb="FFFF0000"/>
      </font>
    </dxf>
    <dxf>
      <font>
        <color rgb="FFFF0000"/>
      </font>
    </dxf>
    <dxf>
      <font>
        <color rgb="FFFF0000"/>
      </font>
    </dxf>
    <dxf>
      <numFmt numFmtId="1" formatCode="0"/>
    </dxf>
    <dxf>
      <numFmt numFmtId="1" formatCode="0"/>
    </dxf>
    <dxf>
      <numFmt numFmtId="1" formatCode="0"/>
    </dxf>
    <dxf>
      <numFmt numFmtId="1" formatCode="0"/>
    </dxf>
    <dxf>
      <numFmt numFmtId="13" formatCode="0%"/>
    </dxf>
    <dxf>
      <numFmt numFmtId="1" formatCode="0"/>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font>
        <sz val="12"/>
      </font>
    </dxf>
    <dxf>
      <font>
        <b/>
      </font>
    </dxf>
    <dxf>
      <font>
        <color theme="9"/>
      </font>
    </dxf>
    <dxf>
      <numFmt numFmtId="13" formatCode="0%"/>
    </dxf>
    <dxf>
      <font>
        <color rgb="FFFF0000"/>
      </font>
    </dxf>
    <dxf>
      <font>
        <color rgb="FFFF0000"/>
      </font>
    </dxf>
    <dxf>
      <font>
        <color rgb="FFFF0000"/>
      </font>
    </dxf>
    <dxf>
      <font>
        <color rgb="FFFF0000"/>
      </font>
    </dxf>
    <dxf>
      <font>
        <color rgb="FFFF0000"/>
      </font>
    </dxf>
    <dxf>
      <font>
        <color rgb="FFFF0000"/>
      </font>
    </dxf>
    <dxf>
      <numFmt numFmtId="1" formatCode="0"/>
    </dxf>
    <dxf>
      <numFmt numFmtId="0" formatCode="General"/>
    </dxf>
    <dxf>
      <numFmt numFmtId="1" formatCode="0"/>
    </dxf>
    <dxf>
      <numFmt numFmtId="1" formatCode="0"/>
    </dxf>
    <dxf>
      <numFmt numFmtId="1" formatCode="0"/>
    </dxf>
    <dxf>
      <numFmt numFmtId="13" formatCode="0%"/>
    </dxf>
    <dxf>
      <numFmt numFmtId="13" formatCode="0%"/>
    </dxf>
    <dxf>
      <numFmt numFmtId="1" formatCode="0"/>
    </dxf>
    <dxf>
      <numFmt numFmtId="1" formatCode="0"/>
    </dxf>
    <dxf>
      <numFmt numFmtId="0" formatCode="General"/>
    </dxf>
    <dxf>
      <numFmt numFmtId="1" formatCode="0"/>
    </dxf>
    <dxf>
      <numFmt numFmtId="1" formatCode="0"/>
    </dxf>
    <dxf>
      <numFmt numFmtId="0" formatCode="General"/>
    </dxf>
    <dxf>
      <numFmt numFmtId="1" formatCode="0"/>
    </dxf>
    <dxf>
      <numFmt numFmtId="1" formatCode="0"/>
    </dxf>
    <dxf>
      <numFmt numFmtId="1" formatCode="0"/>
    </dxf>
    <dxf>
      <numFmt numFmtId="1" formatCode="0"/>
    </dxf>
    <dxf>
      <font>
        <b val="0"/>
        <i val="0"/>
        <strike val="0"/>
        <condense val="0"/>
        <extend val="0"/>
        <outline val="0"/>
        <shadow val="0"/>
        <u val="none"/>
        <vertAlign val="baseline"/>
        <sz val="12"/>
        <color theme="1"/>
        <name val="Aptos Narrow"/>
        <family val="2"/>
        <scheme val="minor"/>
      </font>
      <numFmt numFmtId="0" formatCode="General"/>
    </dxf>
    <dxf>
      <font>
        <b val="0"/>
        <i val="0"/>
        <strike val="0"/>
        <condense val="0"/>
        <extend val="0"/>
        <outline val="0"/>
        <shadow val="0"/>
        <u val="none"/>
        <vertAlign val="baseline"/>
        <sz val="12"/>
        <color theme="1"/>
        <name val="Aptos Narrow"/>
        <family val="2"/>
        <scheme val="minor"/>
      </font>
      <numFmt numFmtId="0" formatCode="General"/>
    </dxf>
    <dxf>
      <font>
        <b val="0"/>
        <i val="0"/>
        <strike val="0"/>
        <condense val="0"/>
        <extend val="0"/>
        <outline val="0"/>
        <shadow val="0"/>
        <u val="none"/>
        <vertAlign val="baseline"/>
        <sz val="12"/>
        <color theme="1"/>
        <name val="Aptos Narrow"/>
        <family val="2"/>
        <scheme val="minor"/>
      </font>
      <numFmt numFmtId="164" formatCode="&quot;$&quot;#,##0.00"/>
    </dxf>
    <dxf>
      <font>
        <b val="0"/>
        <i val="0"/>
        <strike val="0"/>
        <condense val="0"/>
        <extend val="0"/>
        <outline val="0"/>
        <shadow val="0"/>
        <u val="none"/>
        <vertAlign val="baseline"/>
        <sz val="12"/>
        <color theme="1"/>
        <name val="Aptos Narrow"/>
        <family val="2"/>
        <scheme val="minor"/>
      </font>
      <numFmt numFmtId="164" formatCode="&quot;$&quot;#,##0.00"/>
      <border diagonalUp="0" diagonalDown="0">
        <left/>
        <right/>
        <top style="thin">
          <color theme="7" tint="0.39997558519241921"/>
        </top>
        <bottom style="thin">
          <color theme="7" tint="0.39997558519241921"/>
        </bottom>
        <vertical/>
        <horizontal/>
      </border>
    </dxf>
    <dxf>
      <font>
        <b val="0"/>
        <i val="0"/>
        <strike val="0"/>
        <condense val="0"/>
        <extend val="0"/>
        <outline val="0"/>
        <shadow val="0"/>
        <u val="none"/>
        <vertAlign val="baseline"/>
        <sz val="12"/>
        <color theme="1"/>
        <name val="Aptos Narrow"/>
        <family val="2"/>
        <scheme val="minor"/>
      </font>
      <numFmt numFmtId="0" formatCode="General"/>
      <border diagonalUp="0" diagonalDown="0">
        <left/>
        <right/>
        <top style="thin">
          <color theme="7" tint="0.39997558519241921"/>
        </top>
        <bottom style="thin">
          <color theme="7" tint="0.39997558519241921"/>
        </bottom>
        <vertical/>
        <horizontal/>
      </border>
    </dxf>
    <dxf>
      <font>
        <b val="0"/>
        <i val="0"/>
        <strike val="0"/>
        <condense val="0"/>
        <extend val="0"/>
        <outline val="0"/>
        <shadow val="0"/>
        <u val="none"/>
        <vertAlign val="baseline"/>
        <sz val="12"/>
        <color theme="1"/>
        <name val="Aptos Narrow"/>
        <family val="2"/>
        <scheme val="minor"/>
      </font>
      <numFmt numFmtId="13" formatCode="0%"/>
      <fill>
        <patternFill patternType="solid">
          <fgColor theme="7" tint="0.79998168889431442"/>
          <bgColor theme="7" tint="0.79998168889431442"/>
        </patternFill>
      </fill>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Aptos Narrow"/>
        <family val="2"/>
        <scheme val="minor"/>
      </font>
      <border diagonalUp="0" diagonalDown="0">
        <left/>
        <right/>
        <top style="thin">
          <color theme="7" tint="0.39997558519241921"/>
        </top>
        <bottom style="thin">
          <color theme="7" tint="0.39997558519241921"/>
        </bottom>
        <vertical/>
        <horizontal/>
      </border>
    </dxf>
    <dxf>
      <font>
        <b val="0"/>
        <i val="0"/>
        <strike val="0"/>
        <condense val="0"/>
        <extend val="0"/>
        <outline val="0"/>
        <shadow val="0"/>
        <u val="none"/>
        <vertAlign val="baseline"/>
        <sz val="12"/>
        <color theme="1"/>
        <name val="Aptos Narrow"/>
        <family val="2"/>
        <scheme val="minor"/>
      </font>
      <border diagonalUp="0" diagonalDown="0">
        <left/>
        <right/>
        <top style="thin">
          <color theme="7" tint="0.39997558519241921"/>
        </top>
        <bottom style="thin">
          <color theme="7" tint="0.39997558519241921"/>
        </bottom>
        <vertical/>
        <horizontal/>
      </border>
    </dxf>
    <dxf>
      <font>
        <b val="0"/>
        <i val="0"/>
        <strike val="0"/>
        <condense val="0"/>
        <extend val="0"/>
        <outline val="0"/>
        <shadow val="0"/>
        <u val="none"/>
        <vertAlign val="baseline"/>
        <sz val="12"/>
        <color theme="1"/>
        <name val="Aptos Narrow"/>
        <family val="2"/>
        <scheme val="minor"/>
      </font>
      <border diagonalUp="0" diagonalDown="0">
        <left/>
        <right/>
        <top style="thin">
          <color theme="7" tint="0.39997558519241921"/>
        </top>
        <bottom style="thin">
          <color theme="7" tint="0.39997558519241921"/>
        </bottom>
        <vertical/>
        <horizontal/>
      </border>
    </dxf>
    <dxf>
      <font>
        <b val="0"/>
        <i val="0"/>
        <strike val="0"/>
        <condense val="0"/>
        <extend val="0"/>
        <outline val="0"/>
        <shadow val="0"/>
        <u val="none"/>
        <vertAlign val="baseline"/>
        <sz val="12"/>
        <color theme="1"/>
        <name val="Aptos Narrow"/>
        <family val="2"/>
        <scheme val="minor"/>
      </font>
      <border diagonalUp="0" diagonalDown="0">
        <left/>
        <right/>
        <top style="thin">
          <color theme="7" tint="0.39997558519241921"/>
        </top>
        <bottom style="thin">
          <color theme="7" tint="0.39997558519241921"/>
        </bottom>
        <vertical/>
        <horizontal/>
      </border>
    </dxf>
    <dxf>
      <font>
        <b val="0"/>
        <i val="0"/>
        <strike val="0"/>
        <condense val="0"/>
        <extend val="0"/>
        <outline val="0"/>
        <shadow val="0"/>
        <u val="none"/>
        <vertAlign val="baseline"/>
        <sz val="12"/>
        <color theme="1"/>
        <name val="Aptos Narrow"/>
        <family val="2"/>
        <scheme val="minor"/>
      </font>
      <border diagonalUp="0" diagonalDown="0">
        <left/>
        <right/>
        <top style="thin">
          <color theme="7" tint="0.39997558519241921"/>
        </top>
        <bottom style="thin">
          <color theme="7" tint="0.39997558519241921"/>
        </bottom>
        <vertical/>
        <horizontal/>
      </border>
    </dxf>
    <dxf>
      <font>
        <b val="0"/>
        <i val="0"/>
        <strike val="0"/>
        <condense val="0"/>
        <extend val="0"/>
        <outline val="0"/>
        <shadow val="0"/>
        <u val="none"/>
        <vertAlign val="baseline"/>
        <sz val="12"/>
        <color theme="1"/>
        <name val="Aptos Narrow"/>
        <family val="2"/>
        <scheme val="minor"/>
      </font>
      <border diagonalUp="0" diagonalDown="0">
        <left/>
        <right/>
        <top style="thin">
          <color theme="7" tint="0.39997558519241921"/>
        </top>
        <bottom style="thin">
          <color theme="7" tint="0.39997558519241921"/>
        </bottom>
        <vertical/>
        <horizontal/>
      </border>
    </dxf>
    <dxf>
      <font>
        <b val="0"/>
        <i val="0"/>
        <strike val="0"/>
        <condense val="0"/>
        <extend val="0"/>
        <outline val="0"/>
        <shadow val="0"/>
        <u val="none"/>
        <vertAlign val="baseline"/>
        <sz val="12"/>
        <color theme="1"/>
        <name val="Aptos Narrow"/>
        <family val="2"/>
        <scheme val="minor"/>
      </font>
      <border diagonalUp="0" diagonalDown="0">
        <left/>
        <right/>
        <top style="thin">
          <color theme="7" tint="0.39997558519241921"/>
        </top>
        <bottom style="thin">
          <color theme="7" tint="0.39997558519241921"/>
        </bottom>
        <vertical/>
        <horizontal/>
      </border>
    </dxf>
    <dxf>
      <font>
        <b val="0"/>
        <i val="0"/>
        <strike val="0"/>
        <condense val="0"/>
        <extend val="0"/>
        <outline val="0"/>
        <shadow val="0"/>
        <u val="none"/>
        <vertAlign val="baseline"/>
        <sz val="12"/>
        <color theme="1"/>
        <name val="Aptos Narrow"/>
        <family val="2"/>
        <scheme val="minor"/>
      </font>
      <border diagonalUp="0" diagonalDown="0">
        <left/>
        <right/>
        <top style="thin">
          <color theme="7" tint="0.39997558519241921"/>
        </top>
        <bottom style="thin">
          <color theme="7" tint="0.39997558519241921"/>
        </bottom>
        <vertical/>
        <horizontal/>
      </border>
    </dxf>
    <dxf>
      <font>
        <b val="0"/>
        <i val="0"/>
        <strike val="0"/>
        <condense val="0"/>
        <extend val="0"/>
        <outline val="0"/>
        <shadow val="0"/>
        <u val="none"/>
        <vertAlign val="baseline"/>
        <sz val="12"/>
        <color theme="1"/>
        <name val="Aptos Narrow"/>
        <family val="2"/>
        <scheme val="minor"/>
      </font>
      <border diagonalUp="0" diagonalDown="0">
        <left/>
        <right/>
        <top style="thin">
          <color theme="7" tint="0.39997558519241921"/>
        </top>
        <bottom style="thin">
          <color theme="7" tint="0.39997558519241921"/>
        </bottom>
        <vertical/>
        <horizontal/>
      </border>
    </dxf>
    <dxf>
      <font>
        <b val="0"/>
        <i val="0"/>
        <strike val="0"/>
        <condense val="0"/>
        <extend val="0"/>
        <outline val="0"/>
        <shadow val="0"/>
        <u val="none"/>
        <vertAlign val="baseline"/>
        <sz val="12"/>
        <color theme="1"/>
        <name val="Aptos Narrow"/>
        <family val="2"/>
        <scheme val="minor"/>
      </font>
      <border diagonalUp="0" diagonalDown="0">
        <left/>
        <right/>
        <top style="thin">
          <color theme="7" tint="0.39997558519241921"/>
        </top>
        <bottom style="thin">
          <color theme="7" tint="0.39997558519241921"/>
        </bottom>
        <vertical/>
        <horizontal/>
      </border>
    </dxf>
    <dxf>
      <font>
        <b val="0"/>
        <i val="0"/>
        <strike val="0"/>
        <condense val="0"/>
        <extend val="0"/>
        <outline val="0"/>
        <shadow val="0"/>
        <u val="none"/>
        <vertAlign val="baseline"/>
        <sz val="12"/>
        <color theme="1"/>
        <name val="Aptos Narrow"/>
        <family val="2"/>
        <scheme val="minor"/>
      </font>
      <border diagonalUp="0" diagonalDown="0">
        <left/>
        <right/>
        <top style="thin">
          <color theme="7" tint="0.39997558519241921"/>
        </top>
        <bottom style="thin">
          <color theme="7" tint="0.39997558519241921"/>
        </bottom>
        <vertical/>
        <horizontal/>
      </border>
    </dxf>
    <dxf>
      <font>
        <b val="0"/>
        <i val="0"/>
        <strike val="0"/>
        <condense val="0"/>
        <extend val="0"/>
        <outline val="0"/>
        <shadow val="0"/>
        <u val="none"/>
        <vertAlign val="baseline"/>
        <sz val="12"/>
        <color theme="1"/>
        <name val="Aptos Narrow"/>
        <family val="2"/>
        <scheme val="minor"/>
      </font>
      <border diagonalUp="0" diagonalDown="0">
        <left/>
        <right/>
        <top style="thin">
          <color theme="7" tint="0.39997558519241921"/>
        </top>
        <bottom style="thin">
          <color theme="7" tint="0.39997558519241921"/>
        </bottom>
        <vertical/>
        <horizontal/>
      </border>
    </dxf>
    <dxf>
      <font>
        <b val="0"/>
        <i val="0"/>
        <strike val="0"/>
        <condense val="0"/>
        <extend val="0"/>
        <outline val="0"/>
        <shadow val="0"/>
        <u val="none"/>
        <vertAlign val="baseline"/>
        <sz val="12"/>
        <color theme="1"/>
        <name val="Aptos Narrow"/>
        <family val="2"/>
        <scheme val="minor"/>
      </font>
      <numFmt numFmtId="167" formatCode="m/d/yyyy"/>
      <border diagonalUp="0" diagonalDown="0">
        <left style="thin">
          <color theme="7" tint="0.39997558519241921"/>
        </left>
        <right/>
        <top style="thin">
          <color theme="7" tint="0.39997558519241921"/>
        </top>
        <bottom style="thin">
          <color theme="7" tint="0.39997558519241921"/>
        </bottom>
        <vertical/>
        <horizontal/>
      </border>
    </dxf>
    <dxf>
      <border outline="0">
        <top style="thin">
          <color auto="1"/>
        </top>
      </border>
    </dxf>
    <dxf>
      <font>
        <b val="0"/>
        <i val="0"/>
        <strike val="0"/>
        <condense val="0"/>
        <extend val="0"/>
        <outline val="0"/>
        <shadow val="0"/>
        <u val="none"/>
        <vertAlign val="baseline"/>
        <sz val="12"/>
        <color theme="1"/>
        <name val="Aptos Narrow"/>
        <family val="2"/>
        <scheme val="minor"/>
      </font>
    </dxf>
    <dxf>
      <border outline="0">
        <bottom style="thin">
          <color auto="1"/>
        </bottom>
      </border>
    </dxf>
    <dxf>
      <font>
        <b/>
        <i val="0"/>
        <strike val="0"/>
        <condense val="0"/>
        <extend val="0"/>
        <outline val="0"/>
        <shadow val="0"/>
        <u val="none"/>
        <vertAlign val="baseline"/>
        <sz val="14"/>
        <color theme="0"/>
        <name val="Aptos Narrow"/>
        <family val="2"/>
        <scheme val="minor"/>
      </font>
      <fill>
        <patternFill patternType="solid">
          <fgColor theme="7"/>
          <bgColor theme="7"/>
        </patternFill>
      </fill>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colors>
    <mruColors>
      <color rgb="FF22C2D4"/>
      <color rgb="FF38C2AD"/>
      <color rgb="FF469C99"/>
      <color rgb="FF8BDCE0"/>
      <color rgb="FF0DBCDB"/>
      <color rgb="FF1BB0DE"/>
      <color rgb="FF0E7F9E"/>
      <color rgb="FFA7FCF5"/>
      <color rgb="FF17E3D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[Marketing-performance-Analysis.xlsx]Pivots &amp; KPIs!PivotTable43</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 &amp; KPIs'!$B$116</c:f>
              <c:strCache>
                <c:ptCount val="1"/>
                <c:pt idx="0">
                  <c:v>Spend</c:v>
                </c:pt>
              </c:strCache>
            </c:strRef>
          </c:tx>
          <c:spPr>
            <a:solidFill>
              <a:schemeClr val="accent1"/>
            </a:solidFill>
            <a:ln>
              <a:noFill/>
            </a:ln>
            <a:effectLst/>
          </c:spPr>
          <c:invertIfNegative val="0"/>
          <c:cat>
            <c:strRef>
              <c:f>'Pivots &amp; KPIs'!$A$117:$A$121</c:f>
              <c:strCache>
                <c:ptCount val="4"/>
                <c:pt idx="0">
                  <c:v>Direct Mail</c:v>
                </c:pt>
                <c:pt idx="1">
                  <c:v>Email</c:v>
                </c:pt>
                <c:pt idx="2">
                  <c:v>Search Engine</c:v>
                </c:pt>
                <c:pt idx="3">
                  <c:v>Social Media</c:v>
                </c:pt>
              </c:strCache>
            </c:strRef>
          </c:cat>
          <c:val>
            <c:numRef>
              <c:f>'Pivots &amp; KPIs'!$B$117:$B$121</c:f>
              <c:numCache>
                <c:formatCode>0</c:formatCode>
                <c:ptCount val="4"/>
                <c:pt idx="0">
                  <c:v>55923.02</c:v>
                </c:pt>
                <c:pt idx="1">
                  <c:v>79171.51999999999</c:v>
                </c:pt>
                <c:pt idx="2">
                  <c:v>57352.719999999987</c:v>
                </c:pt>
                <c:pt idx="3">
                  <c:v>68719.06</c:v>
                </c:pt>
              </c:numCache>
            </c:numRef>
          </c:val>
          <c:extLst>
            <c:ext xmlns:c16="http://schemas.microsoft.com/office/drawing/2014/chart" uri="{C3380CC4-5D6E-409C-BE32-E72D297353CC}">
              <c16:uniqueId val="{00000000-EDAB-47A5-9812-EFA697DA85E9}"/>
            </c:ext>
          </c:extLst>
        </c:ser>
        <c:ser>
          <c:idx val="1"/>
          <c:order val="1"/>
          <c:tx>
            <c:strRef>
              <c:f>'Pivots &amp; KPIs'!$C$116</c:f>
              <c:strCache>
                <c:ptCount val="1"/>
                <c:pt idx="0">
                  <c:v>Conversions</c:v>
                </c:pt>
              </c:strCache>
            </c:strRef>
          </c:tx>
          <c:spPr>
            <a:solidFill>
              <a:schemeClr val="accent2"/>
            </a:solidFill>
            <a:ln>
              <a:noFill/>
            </a:ln>
            <a:effectLst/>
          </c:spPr>
          <c:invertIfNegative val="0"/>
          <c:cat>
            <c:strRef>
              <c:f>'Pivots &amp; KPIs'!$A$117:$A$121</c:f>
              <c:strCache>
                <c:ptCount val="4"/>
                <c:pt idx="0">
                  <c:v>Direct Mail</c:v>
                </c:pt>
                <c:pt idx="1">
                  <c:v>Email</c:v>
                </c:pt>
                <c:pt idx="2">
                  <c:v>Search Engine</c:v>
                </c:pt>
                <c:pt idx="3">
                  <c:v>Social Media</c:v>
                </c:pt>
              </c:strCache>
            </c:strRef>
          </c:cat>
          <c:val>
            <c:numRef>
              <c:f>'Pivots &amp; KPIs'!$C$117:$C$121</c:f>
              <c:numCache>
                <c:formatCode>0</c:formatCode>
                <c:ptCount val="4"/>
                <c:pt idx="0">
                  <c:v>594</c:v>
                </c:pt>
                <c:pt idx="1">
                  <c:v>693</c:v>
                </c:pt>
                <c:pt idx="2">
                  <c:v>606</c:v>
                </c:pt>
                <c:pt idx="3">
                  <c:v>638</c:v>
                </c:pt>
              </c:numCache>
            </c:numRef>
          </c:val>
          <c:extLst>
            <c:ext xmlns:c16="http://schemas.microsoft.com/office/drawing/2014/chart" uri="{C3380CC4-5D6E-409C-BE32-E72D297353CC}">
              <c16:uniqueId val="{00000002-EDAB-47A5-9812-EFA697DA85E9}"/>
            </c:ext>
          </c:extLst>
        </c:ser>
        <c:ser>
          <c:idx val="2"/>
          <c:order val="2"/>
          <c:tx>
            <c:strRef>
              <c:f>'Pivots &amp; KPIs'!$D$116</c:f>
              <c:strCache>
                <c:ptCount val="1"/>
                <c:pt idx="0">
                  <c:v>Revenue</c:v>
                </c:pt>
              </c:strCache>
            </c:strRef>
          </c:tx>
          <c:spPr>
            <a:solidFill>
              <a:schemeClr val="accent3"/>
            </a:solidFill>
            <a:ln>
              <a:noFill/>
            </a:ln>
            <a:effectLst/>
          </c:spPr>
          <c:invertIfNegative val="0"/>
          <c:cat>
            <c:strRef>
              <c:f>'Pivots &amp; KPIs'!$A$117:$A$121</c:f>
              <c:strCache>
                <c:ptCount val="4"/>
                <c:pt idx="0">
                  <c:v>Direct Mail</c:v>
                </c:pt>
                <c:pt idx="1">
                  <c:v>Email</c:v>
                </c:pt>
                <c:pt idx="2">
                  <c:v>Search Engine</c:v>
                </c:pt>
                <c:pt idx="3">
                  <c:v>Social Media</c:v>
                </c:pt>
              </c:strCache>
            </c:strRef>
          </c:cat>
          <c:val>
            <c:numRef>
              <c:f>'Pivots &amp; KPIs'!$D$117:$D$121</c:f>
              <c:numCache>
                <c:formatCode>0</c:formatCode>
                <c:ptCount val="4"/>
                <c:pt idx="0">
                  <c:v>175503.28000000003</c:v>
                </c:pt>
                <c:pt idx="1">
                  <c:v>302491.69999999995</c:v>
                </c:pt>
                <c:pt idx="2">
                  <c:v>269164.12999999995</c:v>
                </c:pt>
                <c:pt idx="3">
                  <c:v>295320.58</c:v>
                </c:pt>
              </c:numCache>
            </c:numRef>
          </c:val>
          <c:extLst>
            <c:ext xmlns:c16="http://schemas.microsoft.com/office/drawing/2014/chart" uri="{C3380CC4-5D6E-409C-BE32-E72D297353CC}">
              <c16:uniqueId val="{00000004-EDAB-47A5-9812-EFA697DA85E9}"/>
            </c:ext>
          </c:extLst>
        </c:ser>
        <c:dLbls>
          <c:showLegendKey val="0"/>
          <c:showVal val="0"/>
          <c:showCatName val="0"/>
          <c:showSerName val="0"/>
          <c:showPercent val="0"/>
          <c:showBubbleSize val="0"/>
        </c:dLbls>
        <c:gapWidth val="219"/>
        <c:overlap val="-27"/>
        <c:axId val="1840069639"/>
        <c:axId val="1849180679"/>
      </c:barChart>
      <c:catAx>
        <c:axId val="1840069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9180679"/>
        <c:crosses val="autoZero"/>
        <c:auto val="1"/>
        <c:lblAlgn val="ctr"/>
        <c:lblOffset val="100"/>
        <c:noMultiLvlLbl val="0"/>
      </c:catAx>
      <c:valAx>
        <c:axId val="184918067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00696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[Marketing-performance-Analysis.xlsx]Pivots &amp; KPIs!PivotTable48</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 &amp; KPIs'!$G$116</c:f>
              <c:strCache>
                <c:ptCount val="1"/>
                <c:pt idx="0">
                  <c:v>CTR</c:v>
                </c:pt>
              </c:strCache>
            </c:strRef>
          </c:tx>
          <c:spPr>
            <a:solidFill>
              <a:schemeClr val="accent1"/>
            </a:solidFill>
            <a:ln>
              <a:noFill/>
            </a:ln>
            <a:effectLst/>
          </c:spPr>
          <c:invertIfNegative val="0"/>
          <c:cat>
            <c:strRef>
              <c:f>'Pivots &amp; KPIs'!$F$117:$F$121</c:f>
              <c:strCache>
                <c:ptCount val="4"/>
                <c:pt idx="0">
                  <c:v>Direct Mail</c:v>
                </c:pt>
                <c:pt idx="1">
                  <c:v>Email</c:v>
                </c:pt>
                <c:pt idx="2">
                  <c:v>Search Engine</c:v>
                </c:pt>
                <c:pt idx="3">
                  <c:v>Social Media</c:v>
                </c:pt>
              </c:strCache>
            </c:strRef>
          </c:cat>
          <c:val>
            <c:numRef>
              <c:f>'Pivots &amp; KPIs'!$G$117:$G$121</c:f>
              <c:numCache>
                <c:formatCode>0%</c:formatCode>
                <c:ptCount val="4"/>
                <c:pt idx="0">
                  <c:v>0.132525</c:v>
                </c:pt>
                <c:pt idx="1">
                  <c:v>0.14615666666666668</c:v>
                </c:pt>
                <c:pt idx="2">
                  <c:v>0.16439999999999999</c:v>
                </c:pt>
                <c:pt idx="3">
                  <c:v>0.10874400000000001</c:v>
                </c:pt>
              </c:numCache>
            </c:numRef>
          </c:val>
          <c:extLst>
            <c:ext xmlns:c16="http://schemas.microsoft.com/office/drawing/2014/chart" uri="{C3380CC4-5D6E-409C-BE32-E72D297353CC}">
              <c16:uniqueId val="{00000000-A722-4C8B-9977-A9EA89F914FB}"/>
            </c:ext>
          </c:extLst>
        </c:ser>
        <c:ser>
          <c:idx val="1"/>
          <c:order val="1"/>
          <c:tx>
            <c:strRef>
              <c:f>'Pivots &amp; KPIs'!$H$116</c:f>
              <c:strCache>
                <c:ptCount val="1"/>
                <c:pt idx="0">
                  <c:v>CPC</c:v>
                </c:pt>
              </c:strCache>
            </c:strRef>
          </c:tx>
          <c:spPr>
            <a:solidFill>
              <a:schemeClr val="accent2"/>
            </a:solidFill>
            <a:ln>
              <a:noFill/>
            </a:ln>
            <a:effectLst/>
          </c:spPr>
          <c:invertIfNegative val="0"/>
          <c:cat>
            <c:strRef>
              <c:f>'Pivots &amp; KPIs'!$F$117:$F$121</c:f>
              <c:strCache>
                <c:ptCount val="4"/>
                <c:pt idx="0">
                  <c:v>Direct Mail</c:v>
                </c:pt>
                <c:pt idx="1">
                  <c:v>Email</c:v>
                </c:pt>
                <c:pt idx="2">
                  <c:v>Search Engine</c:v>
                </c:pt>
                <c:pt idx="3">
                  <c:v>Social Media</c:v>
                </c:pt>
              </c:strCache>
            </c:strRef>
          </c:cat>
          <c:val>
            <c:numRef>
              <c:f>'Pivots &amp; KPIs'!$H$117:$H$121</c:f>
              <c:numCache>
                <c:formatCode>0</c:formatCode>
                <c:ptCount val="4"/>
                <c:pt idx="0">
                  <c:v>8.3925000000000018</c:v>
                </c:pt>
                <c:pt idx="1">
                  <c:v>5.625</c:v>
                </c:pt>
                <c:pt idx="2">
                  <c:v>5.4536000000000016</c:v>
                </c:pt>
                <c:pt idx="3">
                  <c:v>7.3651999999999989</c:v>
                </c:pt>
              </c:numCache>
            </c:numRef>
          </c:val>
          <c:extLst>
            <c:ext xmlns:c16="http://schemas.microsoft.com/office/drawing/2014/chart" uri="{C3380CC4-5D6E-409C-BE32-E72D297353CC}">
              <c16:uniqueId val="{00000002-A722-4C8B-9977-A9EA89F914FB}"/>
            </c:ext>
          </c:extLst>
        </c:ser>
        <c:ser>
          <c:idx val="2"/>
          <c:order val="2"/>
          <c:tx>
            <c:strRef>
              <c:f>'Pivots &amp; KPIs'!$I$116</c:f>
              <c:strCache>
                <c:ptCount val="1"/>
                <c:pt idx="0">
                  <c:v>ROI %</c:v>
                </c:pt>
              </c:strCache>
            </c:strRef>
          </c:tx>
          <c:spPr>
            <a:solidFill>
              <a:schemeClr val="accent3"/>
            </a:solidFill>
            <a:ln>
              <a:noFill/>
            </a:ln>
            <a:effectLst/>
          </c:spPr>
          <c:invertIfNegative val="0"/>
          <c:cat>
            <c:strRef>
              <c:f>'Pivots &amp; KPIs'!$F$117:$F$121</c:f>
              <c:strCache>
                <c:ptCount val="4"/>
                <c:pt idx="0">
                  <c:v>Direct Mail</c:v>
                </c:pt>
                <c:pt idx="1">
                  <c:v>Email</c:v>
                </c:pt>
                <c:pt idx="2">
                  <c:v>Search Engine</c:v>
                </c:pt>
                <c:pt idx="3">
                  <c:v>Social Media</c:v>
                </c:pt>
              </c:strCache>
            </c:strRef>
          </c:cat>
          <c:val>
            <c:numRef>
              <c:f>'Pivots &amp; KPIs'!$I$117:$I$121</c:f>
              <c:numCache>
                <c:formatCode>0%</c:formatCode>
                <c:ptCount val="4"/>
                <c:pt idx="0">
                  <c:v>3.1983649999999995</c:v>
                </c:pt>
                <c:pt idx="1">
                  <c:v>4.5236666666666681</c:v>
                </c:pt>
                <c:pt idx="2">
                  <c:v>4.9899599999999991</c:v>
                </c:pt>
                <c:pt idx="3">
                  <c:v>4.9274759999999995</c:v>
                </c:pt>
              </c:numCache>
            </c:numRef>
          </c:val>
          <c:extLst>
            <c:ext xmlns:c16="http://schemas.microsoft.com/office/drawing/2014/chart" uri="{C3380CC4-5D6E-409C-BE32-E72D297353CC}">
              <c16:uniqueId val="{00000004-A722-4C8B-9977-A9EA89F914FB}"/>
            </c:ext>
          </c:extLst>
        </c:ser>
        <c:dLbls>
          <c:showLegendKey val="0"/>
          <c:showVal val="0"/>
          <c:showCatName val="0"/>
          <c:showSerName val="0"/>
          <c:showPercent val="0"/>
          <c:showBubbleSize val="0"/>
        </c:dLbls>
        <c:gapWidth val="182"/>
        <c:axId val="1849430023"/>
        <c:axId val="1849434119"/>
      </c:barChart>
      <c:catAx>
        <c:axId val="18494300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9434119"/>
        <c:crosses val="autoZero"/>
        <c:auto val="1"/>
        <c:lblAlgn val="ctr"/>
        <c:lblOffset val="100"/>
        <c:noMultiLvlLbl val="0"/>
      </c:catAx>
      <c:valAx>
        <c:axId val="184943411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94300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[Marketing-performance-Analysis.xlsx]Pivots &amp; KPIs!PivotTable47</c:name>
    <c:fmtId val="1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 &amp; KPIs'!$L$116</c:f>
              <c:strCache>
                <c:ptCount val="1"/>
                <c:pt idx="0">
                  <c:v>Spend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'Pivots &amp; KPIs'!$K$117:$K$121</c:f>
              <c:strCache>
                <c:ptCount val="4"/>
                <c:pt idx="0">
                  <c:v>Q1</c:v>
                </c:pt>
                <c:pt idx="1">
                  <c:v>Q2</c:v>
                </c:pt>
                <c:pt idx="2">
                  <c:v>Q3</c:v>
                </c:pt>
                <c:pt idx="3">
                  <c:v>Q4</c:v>
                </c:pt>
              </c:strCache>
            </c:strRef>
          </c:cat>
          <c:val>
            <c:numRef>
              <c:f>'Pivots &amp; KPIs'!$L$117:$L$121</c:f>
              <c:numCache>
                <c:formatCode>0</c:formatCode>
                <c:ptCount val="4"/>
                <c:pt idx="0">
                  <c:v>81917.239999999991</c:v>
                </c:pt>
                <c:pt idx="1">
                  <c:v>70186.39</c:v>
                </c:pt>
                <c:pt idx="2">
                  <c:v>48026.85</c:v>
                </c:pt>
                <c:pt idx="3">
                  <c:v>61035.839999999997</c:v>
                </c:pt>
              </c:numCache>
            </c:numRef>
          </c:val>
          <c:smooth val="0"/>
          <c:extLst>
            <c:ext xmlns:c16="http://schemas.microsoft.com/office/drawing/2014/chart" uri="{C3380CC4-5D6E-409C-BE32-E72D297353CC}">
              <c16:uniqueId val="{00000000-6712-47C7-9770-DA081458BA19}"/>
            </c:ext>
          </c:extLst>
        </c:ser>
        <c:ser>
          <c:idx val="1"/>
          <c:order val="1"/>
          <c:tx>
            <c:strRef>
              <c:f>'Pivots &amp; KPIs'!$M$116</c:f>
              <c:strCache>
                <c:ptCount val="1"/>
                <c:pt idx="0">
                  <c:v>Revenue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'Pivots &amp; KPIs'!$K$117:$K$121</c:f>
              <c:strCache>
                <c:ptCount val="4"/>
                <c:pt idx="0">
                  <c:v>Q1</c:v>
                </c:pt>
                <c:pt idx="1">
                  <c:v>Q2</c:v>
                </c:pt>
                <c:pt idx="2">
                  <c:v>Q3</c:v>
                </c:pt>
                <c:pt idx="3">
                  <c:v>Q4</c:v>
                </c:pt>
              </c:strCache>
            </c:strRef>
          </c:cat>
          <c:val>
            <c:numRef>
              <c:f>'Pivots &amp; KPIs'!$M$117:$M$121</c:f>
              <c:numCache>
                <c:formatCode>0</c:formatCode>
                <c:ptCount val="4"/>
                <c:pt idx="0">
                  <c:v>301440.9499999999</c:v>
                </c:pt>
                <c:pt idx="1">
                  <c:v>224121.36000000002</c:v>
                </c:pt>
                <c:pt idx="2">
                  <c:v>267845.69999999995</c:v>
                </c:pt>
                <c:pt idx="3">
                  <c:v>249071.68</c:v>
                </c:pt>
              </c:numCache>
            </c:numRef>
          </c:val>
          <c:smooth val="0"/>
          <c:extLst>
            <c:ext xmlns:c16="http://schemas.microsoft.com/office/drawing/2014/chart" uri="{C3380CC4-5D6E-409C-BE32-E72D297353CC}">
              <c16:uniqueId val="{00000002-6712-47C7-9770-DA081458BA19}"/>
            </c:ext>
          </c:extLst>
        </c:ser>
        <c:ser>
          <c:idx val="2"/>
          <c:order val="2"/>
          <c:tx>
            <c:strRef>
              <c:f>'Pivots &amp; KPIs'!$N$116</c:f>
              <c:strCache>
                <c:ptCount val="1"/>
                <c:pt idx="0">
                  <c:v>Conversion Rate % </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'Pivots &amp; KPIs'!$K$117:$K$121</c:f>
              <c:strCache>
                <c:ptCount val="4"/>
                <c:pt idx="0">
                  <c:v>Q1</c:v>
                </c:pt>
                <c:pt idx="1">
                  <c:v>Q2</c:v>
                </c:pt>
                <c:pt idx="2">
                  <c:v>Q3</c:v>
                </c:pt>
                <c:pt idx="3">
                  <c:v>Q4</c:v>
                </c:pt>
              </c:strCache>
            </c:strRef>
          </c:cat>
          <c:val>
            <c:numRef>
              <c:f>'Pivots &amp; KPIs'!$N$117:$N$121</c:f>
              <c:numCache>
                <c:formatCode>0%</c:formatCode>
                <c:ptCount val="4"/>
                <c:pt idx="0">
                  <c:v>7.1126531859713071E-2</c:v>
                </c:pt>
                <c:pt idx="1">
                  <c:v>6.4157374838393288E-2</c:v>
                </c:pt>
                <c:pt idx="2">
                  <c:v>6.4325128108211879E-2</c:v>
                </c:pt>
                <c:pt idx="3">
                  <c:v>5.9504843693569738E-2</c:v>
                </c:pt>
              </c:numCache>
            </c:numRef>
          </c:val>
          <c:smooth val="0"/>
          <c:extLst>
            <c:ext xmlns:c16="http://schemas.microsoft.com/office/drawing/2014/chart" uri="{C3380CC4-5D6E-409C-BE32-E72D297353CC}">
              <c16:uniqueId val="{00000004-6712-47C7-9770-DA081458BA19}"/>
            </c:ext>
          </c:extLst>
        </c:ser>
        <c:ser>
          <c:idx val="3"/>
          <c:order val="3"/>
          <c:tx>
            <c:strRef>
              <c:f>'Pivots &amp; KPIs'!$O$116</c:f>
              <c:strCache>
                <c:ptCount val="1"/>
                <c:pt idx="0">
                  <c:v>ROI %</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'Pivots &amp; KPIs'!$K$117:$K$121</c:f>
              <c:strCache>
                <c:ptCount val="4"/>
                <c:pt idx="0">
                  <c:v>Q1</c:v>
                </c:pt>
                <c:pt idx="1">
                  <c:v>Q2</c:v>
                </c:pt>
                <c:pt idx="2">
                  <c:v>Q3</c:v>
                </c:pt>
                <c:pt idx="3">
                  <c:v>Q4</c:v>
                </c:pt>
              </c:strCache>
            </c:strRef>
          </c:cat>
          <c:val>
            <c:numRef>
              <c:f>'Pivots &amp; KPIs'!$O$117:$O$121</c:f>
              <c:numCache>
                <c:formatCode>0%</c:formatCode>
                <c:ptCount val="4"/>
                <c:pt idx="0">
                  <c:v>4.5046718750000005</c:v>
                </c:pt>
                <c:pt idx="1">
                  <c:v>2.7790090909090912</c:v>
                </c:pt>
                <c:pt idx="2">
                  <c:v>6.9939318181818182</c:v>
                </c:pt>
                <c:pt idx="3">
                  <c:v>3.6857916666666668</c:v>
                </c:pt>
              </c:numCache>
            </c:numRef>
          </c:val>
          <c:smooth val="0"/>
          <c:extLst>
            <c:ext xmlns:c16="http://schemas.microsoft.com/office/drawing/2014/chart" uri="{C3380CC4-5D6E-409C-BE32-E72D297353CC}">
              <c16:uniqueId val="{00000006-6712-47C7-9770-DA081458BA19}"/>
            </c:ext>
          </c:extLst>
        </c:ser>
        <c:dLbls>
          <c:showLegendKey val="0"/>
          <c:showVal val="0"/>
          <c:showCatName val="0"/>
          <c:showSerName val="0"/>
          <c:showPercent val="0"/>
          <c:showBubbleSize val="0"/>
        </c:dLbls>
        <c:marker val="1"/>
        <c:smooth val="0"/>
        <c:axId val="1849195015"/>
        <c:axId val="1849477127"/>
      </c:lineChart>
      <c:catAx>
        <c:axId val="1849195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9477127"/>
        <c:crosses val="autoZero"/>
        <c:auto val="1"/>
        <c:lblAlgn val="ctr"/>
        <c:lblOffset val="100"/>
        <c:noMultiLvlLbl val="0"/>
      </c:catAx>
      <c:valAx>
        <c:axId val="18494771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91950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[Marketing-performance-Analysis.xlsx]Pivots &amp; KPIs!PivotTable2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 &amp; KPIs'!$E$6</c:f>
              <c:strCache>
                <c:ptCount val="1"/>
                <c:pt idx="0">
                  <c:v>Spend</c:v>
                </c:pt>
              </c:strCache>
            </c:strRef>
          </c:tx>
          <c:spPr>
            <a:solidFill>
              <a:schemeClr val="accent1"/>
            </a:solidFill>
            <a:ln>
              <a:noFill/>
            </a:ln>
            <a:effectLst/>
          </c:spPr>
          <c:invertIfNegative val="0"/>
          <c:cat>
            <c:strRef>
              <c:f>'Pivots &amp; KPIs'!$D$7:$D$11</c:f>
              <c:strCache>
                <c:ptCount val="4"/>
                <c:pt idx="0">
                  <c:v>East</c:v>
                </c:pt>
                <c:pt idx="1">
                  <c:v>North</c:v>
                </c:pt>
                <c:pt idx="2">
                  <c:v>South</c:v>
                </c:pt>
                <c:pt idx="3">
                  <c:v>West</c:v>
                </c:pt>
              </c:strCache>
            </c:strRef>
          </c:cat>
          <c:val>
            <c:numRef>
              <c:f>'Pivots &amp; KPIs'!$E$7:$E$11</c:f>
              <c:numCache>
                <c:formatCode>0</c:formatCode>
                <c:ptCount val="4"/>
                <c:pt idx="0">
                  <c:v>69841.670000000013</c:v>
                </c:pt>
                <c:pt idx="1">
                  <c:v>67187.740000000005</c:v>
                </c:pt>
                <c:pt idx="2">
                  <c:v>47727.48</c:v>
                </c:pt>
                <c:pt idx="3">
                  <c:v>76409.430000000008</c:v>
                </c:pt>
              </c:numCache>
            </c:numRef>
          </c:val>
          <c:extLst>
            <c:ext xmlns:c16="http://schemas.microsoft.com/office/drawing/2014/chart" uri="{C3380CC4-5D6E-409C-BE32-E72D297353CC}">
              <c16:uniqueId val="{00000000-B66C-4646-B7D2-FEEF15978DBD}"/>
            </c:ext>
          </c:extLst>
        </c:ser>
        <c:ser>
          <c:idx val="1"/>
          <c:order val="1"/>
          <c:tx>
            <c:strRef>
              <c:f>'Pivots &amp; KPIs'!$F$6</c:f>
              <c:strCache>
                <c:ptCount val="1"/>
                <c:pt idx="0">
                  <c:v>Revenue</c:v>
                </c:pt>
              </c:strCache>
            </c:strRef>
          </c:tx>
          <c:spPr>
            <a:solidFill>
              <a:schemeClr val="accent2"/>
            </a:solidFill>
            <a:ln>
              <a:noFill/>
            </a:ln>
            <a:effectLst/>
          </c:spPr>
          <c:invertIfNegative val="0"/>
          <c:cat>
            <c:strRef>
              <c:f>'Pivots &amp; KPIs'!$D$7:$D$11</c:f>
              <c:strCache>
                <c:ptCount val="4"/>
                <c:pt idx="0">
                  <c:v>East</c:v>
                </c:pt>
                <c:pt idx="1">
                  <c:v>North</c:v>
                </c:pt>
                <c:pt idx="2">
                  <c:v>South</c:v>
                </c:pt>
                <c:pt idx="3">
                  <c:v>West</c:v>
                </c:pt>
              </c:strCache>
            </c:strRef>
          </c:cat>
          <c:val>
            <c:numRef>
              <c:f>'Pivots &amp; KPIs'!$F$7:$F$11</c:f>
              <c:numCache>
                <c:formatCode>0</c:formatCode>
                <c:ptCount val="4"/>
                <c:pt idx="0">
                  <c:v>308543.80999999994</c:v>
                </c:pt>
                <c:pt idx="1">
                  <c:v>266923.58</c:v>
                </c:pt>
                <c:pt idx="2">
                  <c:v>160892.81000000003</c:v>
                </c:pt>
                <c:pt idx="3">
                  <c:v>306119.49</c:v>
                </c:pt>
              </c:numCache>
            </c:numRef>
          </c:val>
          <c:extLst>
            <c:ext xmlns:c16="http://schemas.microsoft.com/office/drawing/2014/chart" uri="{C3380CC4-5D6E-409C-BE32-E72D297353CC}">
              <c16:uniqueId val="{00000002-B66C-4646-B7D2-FEEF15978DBD}"/>
            </c:ext>
          </c:extLst>
        </c:ser>
        <c:dLbls>
          <c:showLegendKey val="0"/>
          <c:showVal val="0"/>
          <c:showCatName val="0"/>
          <c:showSerName val="0"/>
          <c:showPercent val="0"/>
          <c:showBubbleSize val="0"/>
        </c:dLbls>
        <c:gapWidth val="219"/>
        <c:overlap val="-27"/>
        <c:axId val="1621251592"/>
        <c:axId val="1621253640"/>
      </c:barChart>
      <c:catAx>
        <c:axId val="1621251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1253640"/>
        <c:crosses val="autoZero"/>
        <c:auto val="1"/>
        <c:lblAlgn val="ctr"/>
        <c:lblOffset val="100"/>
        <c:noMultiLvlLbl val="0"/>
      </c:catAx>
      <c:valAx>
        <c:axId val="16212536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12515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'Pivots &amp; KPIs'!$N$30</c:f>
              <c:strCache>
                <c:ptCount val="1"/>
                <c:pt idx="0">
                  <c:v>Conversion Rate %</c:v>
                </c:pt>
              </c:strCache>
            </c:strRef>
          </c:tx>
          <c:spPr>
            <a:solidFill>
              <a:schemeClr val="accent1"/>
            </a:solidFill>
            <a:ln>
              <a:noFill/>
            </a:ln>
            <a:effectLst/>
          </c:spPr>
          <c:invertIfNegative val="0"/>
          <c:cat>
            <c:strRef>
              <c:f>'Pivots &amp; KPIs'!$M$31:$M$34</c:f>
              <c:strCache>
                <c:ptCount val="4"/>
                <c:pt idx="0">
                  <c:v>East</c:v>
                </c:pt>
                <c:pt idx="1">
                  <c:v>North</c:v>
                </c:pt>
                <c:pt idx="2">
                  <c:v>South</c:v>
                </c:pt>
                <c:pt idx="3">
                  <c:v>West</c:v>
                </c:pt>
              </c:strCache>
            </c:strRef>
          </c:cat>
          <c:val>
            <c:numRef>
              <c:f>'Pivots &amp; KPIs'!$N$31:$N$34</c:f>
              <c:numCache>
                <c:formatCode>0%</c:formatCode>
                <c:ptCount val="4"/>
                <c:pt idx="0">
                  <c:v>4.4086449217714131E-2</c:v>
                </c:pt>
                <c:pt idx="1">
                  <c:v>6.5265002190100743E-2</c:v>
                </c:pt>
                <c:pt idx="2">
                  <c:v>2.7831575927121439E-2</c:v>
                </c:pt>
                <c:pt idx="3">
                  <c:v>4.7189853859524886E-2</c:v>
                </c:pt>
              </c:numCache>
            </c:numRef>
          </c:val>
          <c:extLst>
            <c:ext xmlns:c16="http://schemas.microsoft.com/office/drawing/2014/chart" uri="{C3380CC4-5D6E-409C-BE32-E72D297353CC}">
              <c16:uniqueId val="{00000000-DFE7-4542-BF6E-D972DFE027B1}"/>
            </c:ext>
          </c:extLst>
        </c:ser>
        <c:dLbls>
          <c:showLegendKey val="0"/>
          <c:showVal val="0"/>
          <c:showCatName val="0"/>
          <c:showSerName val="0"/>
          <c:showPercent val="0"/>
          <c:showBubbleSize val="0"/>
        </c:dLbls>
        <c:gapWidth val="219"/>
        <c:overlap val="-27"/>
        <c:axId val="86650887"/>
        <c:axId val="86653447"/>
      </c:barChart>
      <c:catAx>
        <c:axId val="86650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653447"/>
        <c:crosses val="autoZero"/>
        <c:auto val="1"/>
        <c:lblAlgn val="ctr"/>
        <c:lblOffset val="100"/>
        <c:noMultiLvlLbl val="0"/>
      </c:catAx>
      <c:valAx>
        <c:axId val="866534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6508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'Pivots &amp; KPIs'!$E$55</c:f>
              <c:strCache>
                <c:ptCount val="1"/>
                <c:pt idx="0">
                  <c:v>Revenue/$ Spent</c:v>
                </c:pt>
              </c:strCache>
            </c:strRef>
          </c:tx>
          <c:spPr>
            <a:solidFill>
              <a:schemeClr val="accent1"/>
            </a:solidFill>
            <a:ln>
              <a:noFill/>
            </a:ln>
            <a:effectLst/>
          </c:spPr>
          <c:invertIfNegative val="0"/>
          <c:cat>
            <c:strRef>
              <c:f>'Pivots &amp; KPIs'!$D$56:$D$59</c:f>
              <c:strCache>
                <c:ptCount val="4"/>
                <c:pt idx="0">
                  <c:v>East</c:v>
                </c:pt>
                <c:pt idx="1">
                  <c:v>North</c:v>
                </c:pt>
                <c:pt idx="2">
                  <c:v>South</c:v>
                </c:pt>
                <c:pt idx="3">
                  <c:v>West</c:v>
                </c:pt>
              </c:strCache>
            </c:strRef>
          </c:cat>
          <c:val>
            <c:numRef>
              <c:f>'Pivots &amp; KPIs'!$E$56:$E$59</c:f>
              <c:numCache>
                <c:formatCode>"$"#,##0.00</c:formatCode>
                <c:ptCount val="4"/>
                <c:pt idx="0">
                  <c:v>4.4177610586917506</c:v>
                </c:pt>
                <c:pt idx="1">
                  <c:v>3.9728018832007148</c:v>
                </c:pt>
                <c:pt idx="2">
                  <c:v>3.3710728075314265</c:v>
                </c:pt>
                <c:pt idx="3">
                  <c:v>4.0063051118166957</c:v>
                </c:pt>
              </c:numCache>
            </c:numRef>
          </c:val>
          <c:extLst>
            <c:ext xmlns:c16="http://schemas.microsoft.com/office/drawing/2014/chart" uri="{C3380CC4-5D6E-409C-BE32-E72D297353CC}">
              <c16:uniqueId val="{00000000-6393-4583-8CE9-B45F40D0EA2B}"/>
            </c:ext>
          </c:extLst>
        </c:ser>
        <c:dLbls>
          <c:showLegendKey val="0"/>
          <c:showVal val="0"/>
          <c:showCatName val="0"/>
          <c:showSerName val="0"/>
          <c:showPercent val="0"/>
          <c:showBubbleSize val="0"/>
        </c:dLbls>
        <c:gapWidth val="219"/>
        <c:overlap val="-27"/>
        <c:axId val="522461072"/>
        <c:axId val="522457232"/>
      </c:barChart>
      <c:catAx>
        <c:axId val="522461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457232"/>
        <c:crosses val="autoZero"/>
        <c:auto val="1"/>
        <c:lblAlgn val="ctr"/>
        <c:lblOffset val="100"/>
        <c:noMultiLvlLbl val="0"/>
      </c:catAx>
      <c:valAx>
        <c:axId val="52245723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461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'Pivots &amp; KPIs'!$E$38</c:f>
              <c:strCache>
                <c:ptCount val="1"/>
                <c:pt idx="0">
                  <c:v>Overall ROI</c:v>
                </c:pt>
              </c:strCache>
            </c:strRef>
          </c:tx>
          <c:spPr>
            <a:solidFill>
              <a:schemeClr val="accent1"/>
            </a:solidFill>
            <a:ln>
              <a:noFill/>
            </a:ln>
            <a:effectLst/>
          </c:spPr>
          <c:invertIfNegative val="0"/>
          <c:cat>
            <c:strRef>
              <c:f>'Pivots &amp; KPIs'!$D$39:$D$42</c:f>
              <c:strCache>
                <c:ptCount val="4"/>
                <c:pt idx="0">
                  <c:v>East</c:v>
                </c:pt>
                <c:pt idx="1">
                  <c:v>North</c:v>
                </c:pt>
                <c:pt idx="2">
                  <c:v>South</c:v>
                </c:pt>
                <c:pt idx="3">
                  <c:v>West</c:v>
                </c:pt>
              </c:strCache>
            </c:strRef>
          </c:cat>
          <c:val>
            <c:numRef>
              <c:f>'Pivots &amp; KPIs'!$E$39:$E$42</c:f>
              <c:numCache>
                <c:formatCode>0%</c:formatCode>
                <c:ptCount val="4"/>
                <c:pt idx="0">
                  <c:v>3.4177610586917515</c:v>
                </c:pt>
                <c:pt idx="1">
                  <c:v>2.9728018832007148</c:v>
                </c:pt>
                <c:pt idx="2">
                  <c:v>2.3710728075314265</c:v>
                </c:pt>
                <c:pt idx="3">
                  <c:v>3.0063051118166952</c:v>
                </c:pt>
              </c:numCache>
            </c:numRef>
          </c:val>
          <c:extLst>
            <c:ext xmlns:c16="http://schemas.microsoft.com/office/drawing/2014/chart" uri="{C3380CC4-5D6E-409C-BE32-E72D297353CC}">
              <c16:uniqueId val="{00000000-6333-4022-9D7C-757CE2750C07}"/>
            </c:ext>
          </c:extLst>
        </c:ser>
        <c:dLbls>
          <c:showLegendKey val="0"/>
          <c:showVal val="0"/>
          <c:showCatName val="0"/>
          <c:showSerName val="0"/>
          <c:showPercent val="0"/>
          <c:showBubbleSize val="0"/>
        </c:dLbls>
        <c:gapWidth val="219"/>
        <c:overlap val="-27"/>
        <c:axId val="1903032328"/>
        <c:axId val="1256390664"/>
      </c:barChart>
      <c:catAx>
        <c:axId val="1903032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6390664"/>
        <c:crosses val="autoZero"/>
        <c:auto val="1"/>
        <c:lblAlgn val="ctr"/>
        <c:lblOffset val="100"/>
        <c:noMultiLvlLbl val="0"/>
      </c:catAx>
      <c:valAx>
        <c:axId val="12563906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30323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[Marketing-performance-Analysis.xlsx]Pivots &amp; KPIs!PivotTable7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 &amp; KPIs'!$H$14</c:f>
              <c:strCache>
                <c:ptCount val="1"/>
                <c:pt idx="0">
                  <c:v>Spend</c:v>
                </c:pt>
              </c:strCache>
            </c:strRef>
          </c:tx>
          <c:spPr>
            <a:solidFill>
              <a:schemeClr val="accent1"/>
            </a:solidFill>
            <a:ln>
              <a:noFill/>
            </a:ln>
            <a:effectLst/>
          </c:spPr>
          <c:invertIfNegative val="0"/>
          <c:cat>
            <c:strRef>
              <c:f>'Pivots &amp; KPIs'!$G$15:$G$19</c:f>
              <c:strCache>
                <c:ptCount val="4"/>
                <c:pt idx="0">
                  <c:v>Product A</c:v>
                </c:pt>
                <c:pt idx="1">
                  <c:v>Product B</c:v>
                </c:pt>
                <c:pt idx="2">
                  <c:v>Product C</c:v>
                </c:pt>
                <c:pt idx="3">
                  <c:v>Product D</c:v>
                </c:pt>
              </c:strCache>
            </c:strRef>
          </c:cat>
          <c:val>
            <c:numRef>
              <c:f>'Pivots &amp; KPIs'!$H$15:$H$19</c:f>
              <c:numCache>
                <c:formatCode>0</c:formatCode>
                <c:ptCount val="4"/>
                <c:pt idx="0">
                  <c:v>58368.759999999987</c:v>
                </c:pt>
                <c:pt idx="1">
                  <c:v>74135.669999999984</c:v>
                </c:pt>
                <c:pt idx="2">
                  <c:v>74208.400000000009</c:v>
                </c:pt>
                <c:pt idx="3">
                  <c:v>54453.49</c:v>
                </c:pt>
              </c:numCache>
            </c:numRef>
          </c:val>
          <c:extLst>
            <c:ext xmlns:c16="http://schemas.microsoft.com/office/drawing/2014/chart" uri="{C3380CC4-5D6E-409C-BE32-E72D297353CC}">
              <c16:uniqueId val="{00000000-0E46-4B0E-8385-D5BA745F0111}"/>
            </c:ext>
          </c:extLst>
        </c:ser>
        <c:ser>
          <c:idx val="1"/>
          <c:order val="1"/>
          <c:tx>
            <c:strRef>
              <c:f>'Pivots &amp; KPIs'!$I$14</c:f>
              <c:strCache>
                <c:ptCount val="1"/>
                <c:pt idx="0">
                  <c:v>Revenue</c:v>
                </c:pt>
              </c:strCache>
            </c:strRef>
          </c:tx>
          <c:spPr>
            <a:solidFill>
              <a:schemeClr val="accent2"/>
            </a:solidFill>
            <a:ln>
              <a:noFill/>
            </a:ln>
            <a:effectLst/>
          </c:spPr>
          <c:invertIfNegative val="0"/>
          <c:cat>
            <c:strRef>
              <c:f>'Pivots &amp; KPIs'!$G$15:$G$19</c:f>
              <c:strCache>
                <c:ptCount val="4"/>
                <c:pt idx="0">
                  <c:v>Product A</c:v>
                </c:pt>
                <c:pt idx="1">
                  <c:v>Product B</c:v>
                </c:pt>
                <c:pt idx="2">
                  <c:v>Product C</c:v>
                </c:pt>
                <c:pt idx="3">
                  <c:v>Product D</c:v>
                </c:pt>
              </c:strCache>
            </c:strRef>
          </c:cat>
          <c:val>
            <c:numRef>
              <c:f>'Pivots &amp; KPIs'!$I$15:$I$19</c:f>
              <c:numCache>
                <c:formatCode>0</c:formatCode>
                <c:ptCount val="4"/>
                <c:pt idx="0">
                  <c:v>219967.14999999994</c:v>
                </c:pt>
                <c:pt idx="1">
                  <c:v>263435.47999999992</c:v>
                </c:pt>
                <c:pt idx="2">
                  <c:v>345183.16</c:v>
                </c:pt>
                <c:pt idx="3">
                  <c:v>213893.9</c:v>
                </c:pt>
              </c:numCache>
            </c:numRef>
          </c:val>
          <c:extLst>
            <c:ext xmlns:c16="http://schemas.microsoft.com/office/drawing/2014/chart" uri="{C3380CC4-5D6E-409C-BE32-E72D297353CC}">
              <c16:uniqueId val="{00000002-0E46-4B0E-8385-D5BA745F0111}"/>
            </c:ext>
          </c:extLst>
        </c:ser>
        <c:dLbls>
          <c:showLegendKey val="0"/>
          <c:showVal val="0"/>
          <c:showCatName val="0"/>
          <c:showSerName val="0"/>
          <c:showPercent val="0"/>
          <c:showBubbleSize val="0"/>
        </c:dLbls>
        <c:gapWidth val="219"/>
        <c:overlap val="-27"/>
        <c:axId val="1221733896"/>
        <c:axId val="1010164744"/>
      </c:barChart>
      <c:catAx>
        <c:axId val="1221733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0164744"/>
        <c:crosses val="autoZero"/>
        <c:auto val="1"/>
        <c:lblAlgn val="ctr"/>
        <c:lblOffset val="100"/>
        <c:noMultiLvlLbl val="0"/>
      </c:catAx>
      <c:valAx>
        <c:axId val="101016474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17338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'Pivots &amp; KPIs'!$H$38</c:f>
              <c:strCache>
                <c:ptCount val="1"/>
                <c:pt idx="0">
                  <c:v>Overall ROI</c:v>
                </c:pt>
              </c:strCache>
            </c:strRef>
          </c:tx>
          <c:spPr>
            <a:solidFill>
              <a:schemeClr val="accent1"/>
            </a:solidFill>
            <a:ln>
              <a:noFill/>
            </a:ln>
            <a:effectLst/>
          </c:spPr>
          <c:invertIfNegative val="0"/>
          <c:cat>
            <c:strRef>
              <c:f>'Pivots &amp; KPIs'!$G$39:$G$42</c:f>
              <c:strCache>
                <c:ptCount val="4"/>
                <c:pt idx="0">
                  <c:v>Product A</c:v>
                </c:pt>
                <c:pt idx="1">
                  <c:v>Product B</c:v>
                </c:pt>
                <c:pt idx="2">
                  <c:v>Product C</c:v>
                </c:pt>
                <c:pt idx="3">
                  <c:v>Product D</c:v>
                </c:pt>
              </c:strCache>
            </c:strRef>
          </c:cat>
          <c:val>
            <c:numRef>
              <c:f>'Pivots &amp; KPIs'!$H$39:$H$42</c:f>
              <c:numCache>
                <c:formatCode>0%</c:formatCode>
                <c:ptCount val="4"/>
                <c:pt idx="0">
                  <c:v>2.7685767180937204</c:v>
                </c:pt>
                <c:pt idx="1">
                  <c:v>2.5534241479169206</c:v>
                </c:pt>
                <c:pt idx="2">
                  <c:v>3.651537561785458</c:v>
                </c:pt>
                <c:pt idx="3">
                  <c:v>2.928010858440846</c:v>
                </c:pt>
              </c:numCache>
            </c:numRef>
          </c:val>
          <c:extLst>
            <c:ext xmlns:c16="http://schemas.microsoft.com/office/drawing/2014/chart" uri="{C3380CC4-5D6E-409C-BE32-E72D297353CC}">
              <c16:uniqueId val="{00000000-95F0-4ACF-93D5-9ACE4AA2C892}"/>
            </c:ext>
          </c:extLst>
        </c:ser>
        <c:dLbls>
          <c:showLegendKey val="0"/>
          <c:showVal val="0"/>
          <c:showCatName val="0"/>
          <c:showSerName val="0"/>
          <c:showPercent val="0"/>
          <c:showBubbleSize val="0"/>
        </c:dLbls>
        <c:gapWidth val="219"/>
        <c:overlap val="-27"/>
        <c:axId val="1255756808"/>
        <c:axId val="1255758856"/>
      </c:barChart>
      <c:catAx>
        <c:axId val="1255756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758856"/>
        <c:crosses val="autoZero"/>
        <c:auto val="1"/>
        <c:lblAlgn val="ctr"/>
        <c:lblOffset val="100"/>
        <c:noMultiLvlLbl val="0"/>
      </c:catAx>
      <c:valAx>
        <c:axId val="125575885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7568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'Pivots &amp; KPIs'!$Q$30</c:f>
              <c:strCache>
                <c:ptCount val="1"/>
                <c:pt idx="0">
                  <c:v>Conversion Rate %</c:v>
                </c:pt>
              </c:strCache>
            </c:strRef>
          </c:tx>
          <c:spPr>
            <a:solidFill>
              <a:schemeClr val="accent1"/>
            </a:solidFill>
            <a:ln>
              <a:noFill/>
            </a:ln>
            <a:effectLst/>
          </c:spPr>
          <c:invertIfNegative val="0"/>
          <c:cat>
            <c:strRef>
              <c:f>'Pivots &amp; KPIs'!$P$31:$P$34</c:f>
              <c:strCache>
                <c:ptCount val="4"/>
                <c:pt idx="0">
                  <c:v>Product A</c:v>
                </c:pt>
                <c:pt idx="1">
                  <c:v>Product B</c:v>
                </c:pt>
                <c:pt idx="2">
                  <c:v>Product C</c:v>
                </c:pt>
                <c:pt idx="3">
                  <c:v>Product D</c:v>
                </c:pt>
              </c:strCache>
            </c:strRef>
          </c:cat>
          <c:val>
            <c:numRef>
              <c:f>'Pivots &amp; KPIs'!$Q$31:$Q$34</c:f>
              <c:numCache>
                <c:formatCode>0%</c:formatCode>
                <c:ptCount val="4"/>
                <c:pt idx="0">
                  <c:v>3.6457659987071754E-2</c:v>
                </c:pt>
                <c:pt idx="1">
                  <c:v>4.8216141323172847E-2</c:v>
                </c:pt>
                <c:pt idx="2">
                  <c:v>4.9191195969238925E-2</c:v>
                </c:pt>
                <c:pt idx="3">
                  <c:v>4.8160961398397671E-2</c:v>
                </c:pt>
              </c:numCache>
            </c:numRef>
          </c:val>
          <c:extLst>
            <c:ext xmlns:c16="http://schemas.microsoft.com/office/drawing/2014/chart" uri="{C3380CC4-5D6E-409C-BE32-E72D297353CC}">
              <c16:uniqueId val="{00000000-BDC5-4FED-A5DB-6033F3AA2630}"/>
            </c:ext>
          </c:extLst>
        </c:ser>
        <c:dLbls>
          <c:showLegendKey val="0"/>
          <c:showVal val="0"/>
          <c:showCatName val="0"/>
          <c:showSerName val="0"/>
          <c:showPercent val="0"/>
          <c:showBubbleSize val="0"/>
        </c:dLbls>
        <c:gapWidth val="182"/>
        <c:axId val="1095056392"/>
        <c:axId val="1095101448"/>
      </c:barChart>
      <c:catAx>
        <c:axId val="10950563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5101448"/>
        <c:crosses val="autoZero"/>
        <c:auto val="1"/>
        <c:lblAlgn val="ctr"/>
        <c:lblOffset val="100"/>
        <c:noMultiLvlLbl val="0"/>
      </c:catAx>
      <c:valAx>
        <c:axId val="109510144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50563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'Pivots &amp; KPIs'!$H$55</c:f>
              <c:strCache>
                <c:ptCount val="1"/>
                <c:pt idx="0">
                  <c:v>Revenue/$ Spent</c:v>
                </c:pt>
              </c:strCache>
            </c:strRef>
          </c:tx>
          <c:spPr>
            <a:solidFill>
              <a:schemeClr val="accent1"/>
            </a:solidFill>
            <a:ln>
              <a:noFill/>
            </a:ln>
            <a:effectLst/>
          </c:spPr>
          <c:invertIfNegative val="0"/>
          <c:cat>
            <c:strRef>
              <c:f>'Pivots &amp; KPIs'!$G$56:$G$59</c:f>
              <c:strCache>
                <c:ptCount val="4"/>
                <c:pt idx="0">
                  <c:v>Product A</c:v>
                </c:pt>
                <c:pt idx="1">
                  <c:v>Product B</c:v>
                </c:pt>
                <c:pt idx="2">
                  <c:v>Product C</c:v>
                </c:pt>
                <c:pt idx="3">
                  <c:v>Product D</c:v>
                </c:pt>
              </c:strCache>
            </c:strRef>
          </c:cat>
          <c:val>
            <c:numRef>
              <c:f>'Pivots &amp; KPIs'!$H$56:$H$59</c:f>
              <c:numCache>
                <c:formatCode>"$"#,##0.00</c:formatCode>
                <c:ptCount val="4"/>
                <c:pt idx="0">
                  <c:v>3.7685767180937195</c:v>
                </c:pt>
                <c:pt idx="1">
                  <c:v>3.5534241479169202</c:v>
                </c:pt>
                <c:pt idx="2">
                  <c:v>4.6515375617854575</c:v>
                </c:pt>
                <c:pt idx="3">
                  <c:v>3.9280108584408455</c:v>
                </c:pt>
              </c:numCache>
            </c:numRef>
          </c:val>
          <c:extLst>
            <c:ext xmlns:c16="http://schemas.microsoft.com/office/drawing/2014/chart" uri="{C3380CC4-5D6E-409C-BE32-E72D297353CC}">
              <c16:uniqueId val="{00000000-0885-4714-AEC5-0F306B7FE0BB}"/>
            </c:ext>
          </c:extLst>
        </c:ser>
        <c:dLbls>
          <c:showLegendKey val="0"/>
          <c:showVal val="0"/>
          <c:showCatName val="0"/>
          <c:showSerName val="0"/>
          <c:showPercent val="0"/>
          <c:showBubbleSize val="0"/>
        </c:dLbls>
        <c:gapWidth val="182"/>
        <c:axId val="1122537992"/>
        <c:axId val="1122540040"/>
      </c:barChart>
      <c:catAx>
        <c:axId val="11225379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2540040"/>
        <c:crosses val="autoZero"/>
        <c:auto val="1"/>
        <c:lblAlgn val="ctr"/>
        <c:lblOffset val="100"/>
        <c:noMultiLvlLbl val="0"/>
      </c:catAx>
      <c:valAx>
        <c:axId val="1122540040"/>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25379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'Pivots &amp; KPIs'!$K$30</c:f>
              <c:strCache>
                <c:ptCount val="1"/>
                <c:pt idx="0">
                  <c:v>Conversion Rate %</c:v>
                </c:pt>
              </c:strCache>
            </c:strRef>
          </c:tx>
          <c:spPr>
            <a:solidFill>
              <a:schemeClr val="accent1"/>
            </a:solidFill>
            <a:ln>
              <a:noFill/>
            </a:ln>
            <a:effectLst/>
          </c:spPr>
          <c:invertIfNegative val="0"/>
          <c:cat>
            <c:strRef>
              <c:f>'Pivots &amp; KPIs'!$J$31:$J$34</c:f>
              <c:strCache>
                <c:ptCount val="4"/>
                <c:pt idx="0">
                  <c:v>Direct Mail</c:v>
                </c:pt>
                <c:pt idx="1">
                  <c:v>Email</c:v>
                </c:pt>
                <c:pt idx="2">
                  <c:v>Search Engine</c:v>
                </c:pt>
                <c:pt idx="3">
                  <c:v>Social Media</c:v>
                </c:pt>
              </c:strCache>
            </c:strRef>
          </c:cat>
          <c:val>
            <c:numRef>
              <c:f>'Pivots &amp; KPIs'!$K$31:$K$34</c:f>
              <c:numCache>
                <c:formatCode>0%</c:formatCode>
                <c:ptCount val="4"/>
                <c:pt idx="0">
                  <c:v>5.6133056133056136E-2</c:v>
                </c:pt>
                <c:pt idx="1">
                  <c:v>3.6797111453300058E-2</c:v>
                </c:pt>
                <c:pt idx="2">
                  <c:v>4.2688081149619611E-2</c:v>
                </c:pt>
                <c:pt idx="3">
                  <c:v>5.1609771881572564E-2</c:v>
                </c:pt>
              </c:numCache>
            </c:numRef>
          </c:val>
          <c:extLst>
            <c:ext xmlns:c16="http://schemas.microsoft.com/office/drawing/2014/chart" uri="{C3380CC4-5D6E-409C-BE32-E72D297353CC}">
              <c16:uniqueId val="{00000000-3AB6-473C-B5A7-2DE4D4087CE1}"/>
            </c:ext>
          </c:extLst>
        </c:ser>
        <c:dLbls>
          <c:showLegendKey val="0"/>
          <c:showVal val="0"/>
          <c:showCatName val="0"/>
          <c:showSerName val="0"/>
          <c:showPercent val="0"/>
          <c:showBubbleSize val="0"/>
        </c:dLbls>
        <c:gapWidth val="182"/>
        <c:axId val="1935556104"/>
        <c:axId val="2040272392"/>
      </c:barChart>
      <c:catAx>
        <c:axId val="19355561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272392"/>
        <c:crosses val="autoZero"/>
        <c:auto val="1"/>
        <c:lblAlgn val="ctr"/>
        <c:lblOffset val="100"/>
        <c:noMultiLvlLbl val="0"/>
      </c:catAx>
      <c:valAx>
        <c:axId val="204027239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55561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'Pivots &amp; KPIs'!$B$55</c:f>
              <c:strCache>
                <c:ptCount val="1"/>
                <c:pt idx="0">
                  <c:v>Revenue/$ Spent</c:v>
                </c:pt>
              </c:strCache>
            </c:strRef>
          </c:tx>
          <c:spPr>
            <a:solidFill>
              <a:schemeClr val="accent1"/>
            </a:solidFill>
            <a:ln>
              <a:noFill/>
            </a:ln>
            <a:effectLst/>
          </c:spPr>
          <c:invertIfNegative val="0"/>
          <c:cat>
            <c:strRef>
              <c:f>'Pivots &amp; KPIs'!$A$56:$A$59</c:f>
              <c:strCache>
                <c:ptCount val="4"/>
                <c:pt idx="0">
                  <c:v>Direct Mail</c:v>
                </c:pt>
                <c:pt idx="1">
                  <c:v>Email</c:v>
                </c:pt>
                <c:pt idx="2">
                  <c:v>Search Engine</c:v>
                </c:pt>
                <c:pt idx="3">
                  <c:v>Social Media</c:v>
                </c:pt>
              </c:strCache>
            </c:strRef>
          </c:cat>
          <c:val>
            <c:numRef>
              <c:f>'Pivots &amp; KPIs'!$B$56:$B$59</c:f>
              <c:numCache>
                <c:formatCode>"$"#,##0.00</c:formatCode>
                <c:ptCount val="4"/>
                <c:pt idx="0">
                  <c:v>3.1383011861662697</c:v>
                </c:pt>
                <c:pt idx="1">
                  <c:v>3.8207135596234605</c:v>
                </c:pt>
                <c:pt idx="2">
                  <c:v>4.6931362627613824</c:v>
                </c:pt>
                <c:pt idx="3">
                  <c:v>4.2975061067482594</c:v>
                </c:pt>
              </c:numCache>
            </c:numRef>
          </c:val>
          <c:extLst>
            <c:ext xmlns:c16="http://schemas.microsoft.com/office/drawing/2014/chart" uri="{C3380CC4-5D6E-409C-BE32-E72D297353CC}">
              <c16:uniqueId val="{00000000-05C5-45D5-BB8D-6E0B01AC9BD1}"/>
            </c:ext>
          </c:extLst>
        </c:ser>
        <c:dLbls>
          <c:showLegendKey val="0"/>
          <c:showVal val="0"/>
          <c:showCatName val="0"/>
          <c:showSerName val="0"/>
          <c:showPercent val="0"/>
          <c:showBubbleSize val="0"/>
        </c:dLbls>
        <c:gapWidth val="182"/>
        <c:axId val="1255788552"/>
        <c:axId val="1255792136"/>
      </c:barChart>
      <c:catAx>
        <c:axId val="12557885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792136"/>
        <c:crosses val="autoZero"/>
        <c:auto val="1"/>
        <c:lblAlgn val="ctr"/>
        <c:lblOffset val="100"/>
        <c:noMultiLvlLbl val="0"/>
      </c:catAx>
      <c:valAx>
        <c:axId val="1255792136"/>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7885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'Pivots &amp; KPIs'!$B$38</c:f>
              <c:strCache>
                <c:ptCount val="1"/>
                <c:pt idx="0">
                  <c:v>Overall ROI</c:v>
                </c:pt>
              </c:strCache>
            </c:strRef>
          </c:tx>
          <c:spPr>
            <a:solidFill>
              <a:schemeClr val="accent1"/>
            </a:solidFill>
            <a:ln>
              <a:noFill/>
            </a:ln>
            <a:effectLst/>
          </c:spPr>
          <c:invertIfNegative val="0"/>
          <c:cat>
            <c:strRef>
              <c:f>'Pivots &amp; KPIs'!$A$39:$A$42</c:f>
              <c:strCache>
                <c:ptCount val="4"/>
                <c:pt idx="0">
                  <c:v>Direct Mail</c:v>
                </c:pt>
                <c:pt idx="1">
                  <c:v>Email</c:v>
                </c:pt>
                <c:pt idx="2">
                  <c:v>Search Engine</c:v>
                </c:pt>
                <c:pt idx="3">
                  <c:v>Social Media</c:v>
                </c:pt>
              </c:strCache>
            </c:strRef>
          </c:cat>
          <c:val>
            <c:numRef>
              <c:f>'Pivots &amp; KPIs'!$B$39:$B$42</c:f>
              <c:numCache>
                <c:formatCode>0%</c:formatCode>
                <c:ptCount val="4"/>
                <c:pt idx="0">
                  <c:v>2.1383011861662693</c:v>
                </c:pt>
                <c:pt idx="1">
                  <c:v>2.8207135596234614</c:v>
                </c:pt>
                <c:pt idx="2">
                  <c:v>3.6931362627613842</c:v>
                </c:pt>
                <c:pt idx="3">
                  <c:v>3.2975061067482589</c:v>
                </c:pt>
              </c:numCache>
            </c:numRef>
          </c:val>
          <c:extLst>
            <c:ext xmlns:c16="http://schemas.microsoft.com/office/drawing/2014/chart" uri="{C3380CC4-5D6E-409C-BE32-E72D297353CC}">
              <c16:uniqueId val="{00000000-A0FE-45F1-AE45-0FFA38F0FC28}"/>
            </c:ext>
          </c:extLst>
        </c:ser>
        <c:dLbls>
          <c:showLegendKey val="0"/>
          <c:showVal val="0"/>
          <c:showCatName val="0"/>
          <c:showSerName val="0"/>
          <c:showPercent val="0"/>
          <c:showBubbleSize val="0"/>
        </c:dLbls>
        <c:gapWidth val="219"/>
        <c:overlap val="-27"/>
        <c:axId val="1937160711"/>
        <c:axId val="2040144392"/>
      </c:barChart>
      <c:catAx>
        <c:axId val="1937160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144392"/>
        <c:crosses val="autoZero"/>
        <c:auto val="1"/>
        <c:lblAlgn val="ctr"/>
        <c:lblOffset val="100"/>
        <c:noMultiLvlLbl val="0"/>
      </c:catAx>
      <c:valAx>
        <c:axId val="20401443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71607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[Marketing-performance-Analysis.xlsx]Pivots &amp; KPIs!PivotTable5</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 &amp; KPIs'!$B$14</c:f>
              <c:strCache>
                <c:ptCount val="1"/>
                <c:pt idx="0">
                  <c:v>Spend</c:v>
                </c:pt>
              </c:strCache>
            </c:strRef>
          </c:tx>
          <c:spPr>
            <a:solidFill>
              <a:schemeClr val="accent1"/>
            </a:solidFill>
            <a:ln>
              <a:noFill/>
            </a:ln>
            <a:effectLst/>
          </c:spPr>
          <c:invertIfNegative val="0"/>
          <c:cat>
            <c:strRef>
              <c:f>'Pivots &amp; KPIs'!$A$15:$A$19</c:f>
              <c:strCache>
                <c:ptCount val="4"/>
                <c:pt idx="0">
                  <c:v>Direct Mail</c:v>
                </c:pt>
                <c:pt idx="1">
                  <c:v>Email</c:v>
                </c:pt>
                <c:pt idx="2">
                  <c:v>Search Engine</c:v>
                </c:pt>
                <c:pt idx="3">
                  <c:v>Social Media</c:v>
                </c:pt>
              </c:strCache>
            </c:strRef>
          </c:cat>
          <c:val>
            <c:numRef>
              <c:f>'Pivots &amp; KPIs'!$B$15:$B$19</c:f>
              <c:numCache>
                <c:formatCode>0</c:formatCode>
                <c:ptCount val="4"/>
                <c:pt idx="0">
                  <c:v>55923.02</c:v>
                </c:pt>
                <c:pt idx="1">
                  <c:v>79171.51999999999</c:v>
                </c:pt>
                <c:pt idx="2">
                  <c:v>57352.719999999987</c:v>
                </c:pt>
                <c:pt idx="3">
                  <c:v>68719.06</c:v>
                </c:pt>
              </c:numCache>
            </c:numRef>
          </c:val>
          <c:extLst>
            <c:ext xmlns:c16="http://schemas.microsoft.com/office/drawing/2014/chart" uri="{C3380CC4-5D6E-409C-BE32-E72D297353CC}">
              <c16:uniqueId val="{00000000-FE23-45CB-B96B-96751C7FE364}"/>
            </c:ext>
          </c:extLst>
        </c:ser>
        <c:ser>
          <c:idx val="1"/>
          <c:order val="1"/>
          <c:tx>
            <c:strRef>
              <c:f>'Pivots &amp; KPIs'!$C$14</c:f>
              <c:strCache>
                <c:ptCount val="1"/>
                <c:pt idx="0">
                  <c:v>Revenue</c:v>
                </c:pt>
              </c:strCache>
            </c:strRef>
          </c:tx>
          <c:spPr>
            <a:solidFill>
              <a:schemeClr val="accent2"/>
            </a:solidFill>
            <a:ln>
              <a:noFill/>
            </a:ln>
            <a:effectLst/>
          </c:spPr>
          <c:invertIfNegative val="0"/>
          <c:cat>
            <c:strRef>
              <c:f>'Pivots &amp; KPIs'!$A$15:$A$19</c:f>
              <c:strCache>
                <c:ptCount val="4"/>
                <c:pt idx="0">
                  <c:v>Direct Mail</c:v>
                </c:pt>
                <c:pt idx="1">
                  <c:v>Email</c:v>
                </c:pt>
                <c:pt idx="2">
                  <c:v>Search Engine</c:v>
                </c:pt>
                <c:pt idx="3">
                  <c:v>Social Media</c:v>
                </c:pt>
              </c:strCache>
            </c:strRef>
          </c:cat>
          <c:val>
            <c:numRef>
              <c:f>'Pivots &amp; KPIs'!$C$15:$C$19</c:f>
              <c:numCache>
                <c:formatCode>0</c:formatCode>
                <c:ptCount val="4"/>
                <c:pt idx="0">
                  <c:v>175503.28000000003</c:v>
                </c:pt>
                <c:pt idx="1">
                  <c:v>302491.69999999995</c:v>
                </c:pt>
                <c:pt idx="2">
                  <c:v>269164.12999999995</c:v>
                </c:pt>
                <c:pt idx="3">
                  <c:v>295320.58</c:v>
                </c:pt>
              </c:numCache>
            </c:numRef>
          </c:val>
          <c:extLst>
            <c:ext xmlns:c16="http://schemas.microsoft.com/office/drawing/2014/chart" uri="{C3380CC4-5D6E-409C-BE32-E72D297353CC}">
              <c16:uniqueId val="{00000002-FE23-45CB-B96B-96751C7FE364}"/>
            </c:ext>
          </c:extLst>
        </c:ser>
        <c:dLbls>
          <c:showLegendKey val="0"/>
          <c:showVal val="0"/>
          <c:showCatName val="0"/>
          <c:showSerName val="0"/>
          <c:showPercent val="0"/>
          <c:showBubbleSize val="0"/>
        </c:dLbls>
        <c:gapWidth val="219"/>
        <c:overlap val="-27"/>
        <c:axId val="1985340936"/>
        <c:axId val="1997083656"/>
      </c:barChart>
      <c:catAx>
        <c:axId val="1985340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7083656"/>
        <c:crosses val="autoZero"/>
        <c:auto val="1"/>
        <c:lblAlgn val="ctr"/>
        <c:lblOffset val="100"/>
        <c:noMultiLvlLbl val="0"/>
      </c:catAx>
      <c:valAx>
        <c:axId val="199708365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53409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[Marketing-performance-Analysis.xlsx]Pivots &amp; KPIs!PivotTable21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'Pivots &amp; KPIs'!$C$46</c:f>
              <c:strCache>
                <c:ptCount val="1"/>
                <c:pt idx="0">
                  <c:v>CPC</c:v>
                </c:pt>
              </c:strCache>
            </c:strRef>
          </c:tx>
          <c:spPr>
            <a:solidFill>
              <a:schemeClr val="accent2"/>
            </a:solidFill>
            <a:ln>
              <a:noFill/>
            </a:ln>
            <a:effectLst/>
          </c:spPr>
          <c:invertIfNegative val="0"/>
          <c:cat>
            <c:strRef>
              <c:f>'Pivots &amp; KPIs'!$A$47:$A$51</c:f>
              <c:strCache>
                <c:ptCount val="4"/>
                <c:pt idx="0">
                  <c:v>Direct Mail</c:v>
                </c:pt>
                <c:pt idx="1">
                  <c:v>Email</c:v>
                </c:pt>
                <c:pt idx="2">
                  <c:v>Search Engine</c:v>
                </c:pt>
                <c:pt idx="3">
                  <c:v>Social Media</c:v>
                </c:pt>
              </c:strCache>
            </c:strRef>
          </c:cat>
          <c:val>
            <c:numRef>
              <c:f>'Pivots &amp; KPIs'!$C$47:$C$51</c:f>
              <c:numCache>
                <c:formatCode>"$"#,##0.00</c:formatCode>
                <c:ptCount val="4"/>
                <c:pt idx="0">
                  <c:v>8.3925000000000018</c:v>
                </c:pt>
                <c:pt idx="1">
                  <c:v>5.625</c:v>
                </c:pt>
                <c:pt idx="2">
                  <c:v>5.4536000000000016</c:v>
                </c:pt>
                <c:pt idx="3">
                  <c:v>7.3651999999999989</c:v>
                </c:pt>
              </c:numCache>
            </c:numRef>
          </c:val>
          <c:extLst>
            <c:ext xmlns:c16="http://schemas.microsoft.com/office/drawing/2014/chart" uri="{C3380CC4-5D6E-409C-BE32-E72D297353CC}">
              <c16:uniqueId val="{00000002-BC17-4CBD-8014-DD87A007C870}"/>
            </c:ext>
          </c:extLst>
        </c:ser>
        <c:dLbls>
          <c:showLegendKey val="0"/>
          <c:showVal val="0"/>
          <c:showCatName val="0"/>
          <c:showSerName val="0"/>
          <c:showPercent val="0"/>
          <c:showBubbleSize val="0"/>
        </c:dLbls>
        <c:gapWidth val="150"/>
        <c:axId val="10365960"/>
        <c:axId val="2126300167"/>
      </c:barChart>
      <c:lineChart>
        <c:grouping val="standard"/>
        <c:varyColors val="0"/>
        <c:ser>
          <c:idx val="0"/>
          <c:order val="0"/>
          <c:tx>
            <c:strRef>
              <c:f>'Pivots &amp; KPIs'!$B$46</c:f>
              <c:strCache>
                <c:ptCount val="1"/>
                <c:pt idx="0">
                  <c:v>CTR</c:v>
                </c:pt>
              </c:strCache>
            </c:strRef>
          </c:tx>
          <c:spPr>
            <a:ln w="28575" cap="rnd">
              <a:solidFill>
                <a:schemeClr val="accent1"/>
              </a:solidFill>
              <a:round/>
            </a:ln>
            <a:effectLst/>
          </c:spPr>
          <c:marker>
            <c:symbol val="none"/>
          </c:marker>
          <c:cat>
            <c:strRef>
              <c:f>'Pivots &amp; KPIs'!$A$47:$A$51</c:f>
              <c:strCache>
                <c:ptCount val="4"/>
                <c:pt idx="0">
                  <c:v>Direct Mail</c:v>
                </c:pt>
                <c:pt idx="1">
                  <c:v>Email</c:v>
                </c:pt>
                <c:pt idx="2">
                  <c:v>Search Engine</c:v>
                </c:pt>
                <c:pt idx="3">
                  <c:v>Social Media</c:v>
                </c:pt>
              </c:strCache>
            </c:strRef>
          </c:cat>
          <c:val>
            <c:numRef>
              <c:f>'Pivots &amp; KPIs'!$B$47:$B$51</c:f>
              <c:numCache>
                <c:formatCode>0%</c:formatCode>
                <c:ptCount val="4"/>
                <c:pt idx="0">
                  <c:v>0.132525</c:v>
                </c:pt>
                <c:pt idx="1">
                  <c:v>0.14615666666666668</c:v>
                </c:pt>
                <c:pt idx="2">
                  <c:v>0.16439999999999999</c:v>
                </c:pt>
                <c:pt idx="3">
                  <c:v>0.10874400000000001</c:v>
                </c:pt>
              </c:numCache>
            </c:numRef>
          </c:val>
          <c:smooth val="0"/>
          <c:extLst>
            <c:ext xmlns:c16="http://schemas.microsoft.com/office/drawing/2014/chart" uri="{C3380CC4-5D6E-409C-BE32-E72D297353CC}">
              <c16:uniqueId val="{00000000-BC17-4CBD-8014-DD87A007C870}"/>
            </c:ext>
          </c:extLst>
        </c:ser>
        <c:dLbls>
          <c:showLegendKey val="0"/>
          <c:showVal val="0"/>
          <c:showCatName val="0"/>
          <c:showSerName val="0"/>
          <c:showPercent val="0"/>
          <c:showBubbleSize val="0"/>
        </c:dLbls>
        <c:marker val="1"/>
        <c:smooth val="0"/>
        <c:axId val="922229872"/>
        <c:axId val="922221232"/>
      </c:lineChart>
      <c:catAx>
        <c:axId val="10365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6300167"/>
        <c:crosses val="autoZero"/>
        <c:auto val="1"/>
        <c:lblAlgn val="ctr"/>
        <c:lblOffset val="100"/>
        <c:noMultiLvlLbl val="0"/>
      </c:catAx>
      <c:valAx>
        <c:axId val="2126300167"/>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65960"/>
        <c:crosses val="autoZero"/>
        <c:crossBetween val="between"/>
      </c:valAx>
      <c:valAx>
        <c:axId val="922221232"/>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229872"/>
        <c:crosses val="max"/>
        <c:crossBetween val="between"/>
      </c:valAx>
      <c:catAx>
        <c:axId val="922229872"/>
        <c:scaling>
          <c:orientation val="minMax"/>
        </c:scaling>
        <c:delete val="1"/>
        <c:axPos val="b"/>
        <c:numFmt formatCode="General" sourceLinked="1"/>
        <c:majorTickMark val="out"/>
        <c:minorTickMark val="none"/>
        <c:tickLblPos val="nextTo"/>
        <c:crossAx val="92222123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[Marketing-performance-Analysis.xlsx]Pivots &amp; KPIs!PivotTable43</c:name>
    <c:fmtId val="2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a:t> Which</a:t>
            </a:r>
            <a:r>
              <a:rPr lang="en-IN" sz="1400" b="1" baseline="0"/>
              <a:t> Channel </a:t>
            </a:r>
            <a:r>
              <a:rPr lang="en-IN" sz="1400" b="1" i="0" u="none" strike="noStrike" baseline="0"/>
              <a:t>Drives the Best Financial Results </a:t>
            </a:r>
            <a:r>
              <a:rPr lang="en-IN" sz="1400" b="1" i="0" baseline="0"/>
              <a:t>?</a:t>
            </a:r>
            <a:endParaRPr lang="en-IN" sz="1400" b="1" i="0"/>
          </a:p>
        </c:rich>
      </c:tx>
      <c:layout>
        <c:manualLayout>
          <c:xMode val="edge"/>
          <c:yMode val="edge"/>
          <c:x val="0.14040087518157643"/>
          <c:y val="6.1433238787862625E-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pivotFmt>
      <c:pivotFmt>
        <c:idx val="19"/>
        <c:spPr>
          <a:solidFill>
            <a:srgbClr val="F1A983"/>
          </a:solidFill>
          <a:ln>
            <a:solidFill>
              <a:srgbClr val="E97132"/>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rgbClr val="8ED973"/>
          </a:solidFill>
          <a:ln>
            <a:solidFill>
              <a:srgbClr val="4EA72E"/>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rgbClr val="4D93D9"/>
            </a:solidFill>
            <a:prstDash val="solid"/>
            <a:round/>
          </a:ln>
          <a:effectLst/>
        </c:spPr>
        <c:marker>
          <c:symbol val="circle"/>
          <c:size val="5"/>
          <c:spPr>
            <a:solidFill>
              <a:srgbClr val="4D93D9"/>
            </a:solidFill>
            <a:ln w="9525">
              <a:solidFill>
                <a:srgbClr val="215C98"/>
              </a:solidFill>
              <a:prstDash val="soli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F1A983"/>
          </a:solidFill>
          <a:ln>
            <a:solidFill>
              <a:srgbClr val="E97132"/>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rgbClr val="8ED973"/>
          </a:solidFill>
          <a:ln>
            <a:solidFill>
              <a:srgbClr val="4EA72E"/>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rgbClr val="4D93D9"/>
            </a:solidFill>
            <a:prstDash val="solid"/>
            <a:round/>
          </a:ln>
          <a:effectLst/>
        </c:spPr>
        <c:marker>
          <c:symbol val="circle"/>
          <c:size val="5"/>
          <c:spPr>
            <a:solidFill>
              <a:srgbClr val="4D93D9"/>
            </a:solidFill>
            <a:ln w="9525">
              <a:solidFill>
                <a:srgbClr val="215C98"/>
              </a:solidFill>
              <a:prstDash val="soli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rgbClr val="F1A983"/>
          </a:solidFill>
          <a:ln>
            <a:solidFill>
              <a:srgbClr val="E97132"/>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rgbClr val="8ED973"/>
          </a:solidFill>
          <a:ln>
            <a:solidFill>
              <a:srgbClr val="4EA72E"/>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rgbClr val="4D93D9"/>
            </a:solidFill>
            <a:prstDash val="solid"/>
            <a:round/>
          </a:ln>
          <a:effectLst/>
        </c:spPr>
        <c:marker>
          <c:symbol val="circle"/>
          <c:size val="5"/>
          <c:spPr>
            <a:solidFill>
              <a:srgbClr val="4D93D9"/>
            </a:solidFill>
            <a:ln w="9525">
              <a:solidFill>
                <a:srgbClr val="215C98"/>
              </a:solidFill>
              <a:prstDash val="soli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rgbClr val="F1A983"/>
          </a:solidFill>
          <a:ln>
            <a:solidFill>
              <a:srgbClr val="E97132"/>
            </a:solidFill>
            <a:prstDash val="solid"/>
          </a:ln>
          <a:effectLst/>
        </c:spPr>
        <c:marker>
          <c:symbol val="none"/>
        </c:marker>
      </c:pivotFmt>
      <c:pivotFmt>
        <c:idx val="29"/>
        <c:spPr>
          <a:solidFill>
            <a:srgbClr val="8ED973"/>
          </a:solidFill>
          <a:ln>
            <a:solidFill>
              <a:srgbClr val="4EA72E"/>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rgbClr val="4D93D9"/>
            </a:solidFill>
            <a:prstDash val="solid"/>
            <a:round/>
          </a:ln>
          <a:effectLst/>
        </c:spPr>
        <c:marker>
          <c:symbol val="circle"/>
          <c:size val="5"/>
          <c:spPr>
            <a:solidFill>
              <a:srgbClr val="4D93D9"/>
            </a:solidFill>
            <a:ln w="9525">
              <a:solidFill>
                <a:srgbClr val="215C98"/>
              </a:solidFill>
              <a:prstDash val="soli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rgbClr val="F1A983"/>
          </a:solidFill>
          <a:ln>
            <a:solidFill>
              <a:srgbClr val="E97132"/>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rgbClr val="8ED973"/>
          </a:solidFill>
          <a:ln>
            <a:solidFill>
              <a:srgbClr val="4EA72E"/>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rgbClr val="4D93D9"/>
            </a:solidFill>
            <a:prstDash val="solid"/>
            <a:round/>
          </a:ln>
          <a:effectLst/>
        </c:spPr>
        <c:marker>
          <c:symbol val="circle"/>
          <c:size val="5"/>
          <c:spPr>
            <a:solidFill>
              <a:srgbClr val="4D93D9"/>
            </a:solidFill>
            <a:ln w="9525">
              <a:solidFill>
                <a:srgbClr val="215C98"/>
              </a:solidFill>
              <a:prstDash val="soli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F1A983"/>
          </a:solidFill>
          <a:ln>
            <a:solidFill>
              <a:srgbClr val="E97132"/>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rgbClr val="8ED973"/>
          </a:solidFill>
          <a:ln>
            <a:solidFill>
              <a:srgbClr val="4EA72E"/>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rgbClr val="4D93D9"/>
            </a:solidFill>
            <a:prstDash val="solid"/>
            <a:round/>
          </a:ln>
          <a:effectLst/>
        </c:spPr>
        <c:marker>
          <c:symbol val="circle"/>
          <c:size val="5"/>
          <c:spPr>
            <a:solidFill>
              <a:srgbClr val="4D93D9"/>
            </a:solidFill>
            <a:ln w="9525">
              <a:solidFill>
                <a:srgbClr val="215C98"/>
              </a:solidFill>
              <a:prstDash val="soli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rgbClr val="F1A983"/>
          </a:solidFill>
          <a:ln>
            <a:solidFill>
              <a:srgbClr val="E97132"/>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rgbClr val="8ED973"/>
          </a:solidFill>
          <a:ln>
            <a:solidFill>
              <a:srgbClr val="4EA72E"/>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rgbClr val="4D93D9"/>
            </a:solidFill>
            <a:prstDash val="solid"/>
            <a:round/>
          </a:ln>
          <a:effectLst/>
        </c:spPr>
        <c:marker>
          <c:symbol val="circle"/>
          <c:size val="5"/>
          <c:spPr>
            <a:solidFill>
              <a:srgbClr val="4D93D9"/>
            </a:solidFill>
            <a:ln w="9525">
              <a:solidFill>
                <a:srgbClr val="215C98"/>
              </a:solidFill>
              <a:prstDash val="soli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rgbClr val="F1A983"/>
          </a:solidFill>
          <a:ln>
            <a:solidFill>
              <a:srgbClr val="E97132"/>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rgbClr val="8ED973"/>
          </a:solidFill>
          <a:ln>
            <a:solidFill>
              <a:srgbClr val="4EA72E"/>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rgbClr val="4D93D9"/>
            </a:solidFill>
            <a:prstDash val="solid"/>
            <a:round/>
          </a:ln>
          <a:effectLst/>
        </c:spPr>
        <c:marker>
          <c:symbol val="circle"/>
          <c:size val="5"/>
          <c:spPr>
            <a:solidFill>
              <a:srgbClr val="4D93D9"/>
            </a:solidFill>
            <a:ln w="9525">
              <a:solidFill>
                <a:srgbClr val="215C98"/>
              </a:solidFill>
              <a:prstDash val="soli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3"/>
        <c:spPr>
          <a:solidFill>
            <a:srgbClr val="F1A983"/>
          </a:solidFill>
          <a:ln>
            <a:solidFill>
              <a:srgbClr val="E97132"/>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rgbClr val="8ED973"/>
          </a:solidFill>
          <a:ln>
            <a:solidFill>
              <a:srgbClr val="4EA72E"/>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rgbClr val="4D93D9"/>
            </a:solidFill>
            <a:prstDash val="solid"/>
            <a:round/>
          </a:ln>
          <a:effectLst/>
        </c:spPr>
        <c:marker>
          <c:symbol val="circle"/>
          <c:size val="5"/>
          <c:spPr>
            <a:solidFill>
              <a:srgbClr val="4D93D9"/>
            </a:solidFill>
            <a:ln w="9525">
              <a:solidFill>
                <a:srgbClr val="215C98"/>
              </a:solidFill>
              <a:prstDash val="soli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F1A983"/>
          </a:solidFill>
          <a:ln>
            <a:solidFill>
              <a:srgbClr val="E97132"/>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rgbClr val="8ED973"/>
          </a:solidFill>
          <a:ln>
            <a:solidFill>
              <a:srgbClr val="4EA72E"/>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rgbClr val="4D93D9"/>
            </a:solidFill>
            <a:prstDash val="solid"/>
            <a:round/>
          </a:ln>
          <a:effectLst/>
        </c:spPr>
        <c:marker>
          <c:symbol val="circle"/>
          <c:size val="5"/>
          <c:spPr>
            <a:solidFill>
              <a:srgbClr val="4D93D9"/>
            </a:solidFill>
            <a:ln w="9525">
              <a:solidFill>
                <a:srgbClr val="215C98"/>
              </a:solidFill>
              <a:prstDash val="soli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9"/>
        <c:spPr>
          <a:solidFill>
            <a:srgbClr val="F1A983"/>
          </a:solidFill>
          <a:ln>
            <a:solidFill>
              <a:srgbClr val="E97132"/>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rgbClr val="8ED973"/>
          </a:solidFill>
          <a:ln>
            <a:solidFill>
              <a:srgbClr val="4EA72E"/>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rgbClr val="4D93D9"/>
            </a:solidFill>
            <a:prstDash val="solid"/>
            <a:round/>
          </a:ln>
          <a:effectLst/>
        </c:spPr>
        <c:marker>
          <c:symbol val="circle"/>
          <c:size val="5"/>
          <c:spPr>
            <a:solidFill>
              <a:srgbClr val="4D93D9"/>
            </a:solidFill>
            <a:ln w="9525">
              <a:solidFill>
                <a:srgbClr val="215C98"/>
              </a:solidFill>
              <a:prstDash val="soli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F1A983"/>
          </a:solidFill>
          <a:ln>
            <a:solidFill>
              <a:srgbClr val="E97132"/>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6">
              <a:lumMod val="75000"/>
            </a:schemeClr>
          </a:solidFill>
          <a:ln>
            <a:solidFill>
              <a:srgbClr val="4EA72E"/>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ln w="28575" cap="rnd">
            <a:solidFill>
              <a:srgbClr val="4D93D9"/>
            </a:solidFill>
            <a:prstDash val="solid"/>
            <a:round/>
          </a:ln>
          <a:effectLst/>
        </c:spPr>
        <c:marker>
          <c:symbol val="circle"/>
          <c:size val="5"/>
          <c:spPr>
            <a:solidFill>
              <a:srgbClr val="4D93D9"/>
            </a:solidFill>
            <a:ln w="9525">
              <a:solidFill>
                <a:srgbClr val="215C98"/>
              </a:solidFill>
              <a:prstDash val="solid"/>
            </a:ln>
            <a:effectLst/>
          </c:spPr>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88822563015032"/>
          <c:y val="0.27009167743296097"/>
          <c:w val="0.77503485381035608"/>
          <c:h val="0.64829431770049673"/>
        </c:manualLayout>
      </c:layout>
      <c:barChart>
        <c:barDir val="col"/>
        <c:grouping val="clustered"/>
        <c:varyColors val="0"/>
        <c:ser>
          <c:idx val="0"/>
          <c:order val="0"/>
          <c:tx>
            <c:strRef>
              <c:f>'Pivots &amp; KPIs'!$B$116</c:f>
              <c:strCache>
                <c:ptCount val="1"/>
                <c:pt idx="0">
                  <c:v>Spend</c:v>
                </c:pt>
              </c:strCache>
            </c:strRef>
          </c:tx>
          <c:spPr>
            <a:solidFill>
              <a:srgbClr val="F1A983"/>
            </a:solidFill>
            <a:ln>
              <a:solidFill>
                <a:srgbClr val="E97132"/>
              </a:solidFill>
              <a:prstDash val="solid"/>
            </a:ln>
            <a:effectLst/>
          </c:spPr>
          <c:invertIfNegative val="0"/>
          <c:cat>
            <c:strRef>
              <c:f>'Pivots &amp; KPIs'!$A$117:$A$121</c:f>
              <c:strCache>
                <c:ptCount val="4"/>
                <c:pt idx="0">
                  <c:v>Direct Mail</c:v>
                </c:pt>
                <c:pt idx="1">
                  <c:v>Email</c:v>
                </c:pt>
                <c:pt idx="2">
                  <c:v>Search Engine</c:v>
                </c:pt>
                <c:pt idx="3">
                  <c:v>Social Media</c:v>
                </c:pt>
              </c:strCache>
            </c:strRef>
          </c:cat>
          <c:val>
            <c:numRef>
              <c:f>'Pivots &amp; KPIs'!$B$117:$B$121</c:f>
              <c:numCache>
                <c:formatCode>0</c:formatCode>
                <c:ptCount val="4"/>
                <c:pt idx="0">
                  <c:v>55923.02</c:v>
                </c:pt>
                <c:pt idx="1">
                  <c:v>79171.51999999999</c:v>
                </c:pt>
                <c:pt idx="2">
                  <c:v>57352.719999999987</c:v>
                </c:pt>
                <c:pt idx="3">
                  <c:v>68719.06</c:v>
                </c:pt>
              </c:numCache>
            </c:numRef>
          </c:val>
          <c:extLst>
            <c:ext xmlns:c16="http://schemas.microsoft.com/office/drawing/2014/chart" uri="{C3380CC4-5D6E-409C-BE32-E72D297353CC}">
              <c16:uniqueId val="{00000000-8A3F-473F-85D4-94D71777AC23}"/>
            </c:ext>
          </c:extLst>
        </c:ser>
        <c:ser>
          <c:idx val="2"/>
          <c:order val="2"/>
          <c:tx>
            <c:strRef>
              <c:f>'Pivots &amp; KPIs'!$D$116</c:f>
              <c:strCache>
                <c:ptCount val="1"/>
                <c:pt idx="0">
                  <c:v>Revenue</c:v>
                </c:pt>
              </c:strCache>
            </c:strRef>
          </c:tx>
          <c:spPr>
            <a:solidFill>
              <a:schemeClr val="accent6">
                <a:lumMod val="75000"/>
              </a:schemeClr>
            </a:solidFill>
            <a:ln>
              <a:solidFill>
                <a:srgbClr val="4EA72E"/>
              </a:solidFill>
              <a:prstDash val="solid"/>
            </a:ln>
            <a:effectLst/>
          </c:spPr>
          <c:invertIfNegative val="0"/>
          <c:cat>
            <c:strRef>
              <c:f>'Pivots &amp; KPIs'!$A$117:$A$121</c:f>
              <c:strCache>
                <c:ptCount val="4"/>
                <c:pt idx="0">
                  <c:v>Direct Mail</c:v>
                </c:pt>
                <c:pt idx="1">
                  <c:v>Email</c:v>
                </c:pt>
                <c:pt idx="2">
                  <c:v>Search Engine</c:v>
                </c:pt>
                <c:pt idx="3">
                  <c:v>Social Media</c:v>
                </c:pt>
              </c:strCache>
            </c:strRef>
          </c:cat>
          <c:val>
            <c:numRef>
              <c:f>'Pivots &amp; KPIs'!$D$117:$D$121</c:f>
              <c:numCache>
                <c:formatCode>0</c:formatCode>
                <c:ptCount val="4"/>
                <c:pt idx="0">
                  <c:v>175503.28000000003</c:v>
                </c:pt>
                <c:pt idx="1">
                  <c:v>302491.69999999995</c:v>
                </c:pt>
                <c:pt idx="2">
                  <c:v>269164.12999999995</c:v>
                </c:pt>
                <c:pt idx="3">
                  <c:v>295320.58</c:v>
                </c:pt>
              </c:numCache>
            </c:numRef>
          </c:val>
          <c:extLst>
            <c:ext xmlns:c16="http://schemas.microsoft.com/office/drawing/2014/chart" uri="{C3380CC4-5D6E-409C-BE32-E72D297353CC}">
              <c16:uniqueId val="{00000002-8A3F-473F-85D4-94D71777AC23}"/>
            </c:ext>
          </c:extLst>
        </c:ser>
        <c:dLbls>
          <c:showLegendKey val="0"/>
          <c:showVal val="0"/>
          <c:showCatName val="0"/>
          <c:showSerName val="0"/>
          <c:showPercent val="0"/>
          <c:showBubbleSize val="0"/>
        </c:dLbls>
        <c:gapWidth val="63"/>
        <c:axId val="1840069639"/>
        <c:axId val="1849180679"/>
      </c:barChart>
      <c:lineChart>
        <c:grouping val="standard"/>
        <c:varyColors val="0"/>
        <c:ser>
          <c:idx val="1"/>
          <c:order val="1"/>
          <c:tx>
            <c:strRef>
              <c:f>'Pivots &amp; KPIs'!$C$116</c:f>
              <c:strCache>
                <c:ptCount val="1"/>
                <c:pt idx="0">
                  <c:v>Conversions</c:v>
                </c:pt>
              </c:strCache>
            </c:strRef>
          </c:tx>
          <c:spPr>
            <a:ln w="28575" cap="rnd">
              <a:solidFill>
                <a:srgbClr val="4D93D9"/>
              </a:solidFill>
              <a:prstDash val="solid"/>
              <a:round/>
            </a:ln>
            <a:effectLst/>
          </c:spPr>
          <c:marker>
            <c:symbol val="circle"/>
            <c:size val="5"/>
            <c:spPr>
              <a:solidFill>
                <a:srgbClr val="4D93D9"/>
              </a:solidFill>
              <a:ln w="9525">
                <a:solidFill>
                  <a:srgbClr val="215C98"/>
                </a:solidFill>
                <a:prstDash val="solid"/>
              </a:ln>
              <a:effectLst/>
            </c:spPr>
          </c:marker>
          <c:dLbls>
            <c:spPr>
              <a:solidFill>
                <a:srgbClr val="FFFF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&amp; KPIs'!$A$117:$A$121</c:f>
              <c:strCache>
                <c:ptCount val="4"/>
                <c:pt idx="0">
                  <c:v>Direct Mail</c:v>
                </c:pt>
                <c:pt idx="1">
                  <c:v>Email</c:v>
                </c:pt>
                <c:pt idx="2">
                  <c:v>Search Engine</c:v>
                </c:pt>
                <c:pt idx="3">
                  <c:v>Social Media</c:v>
                </c:pt>
              </c:strCache>
            </c:strRef>
          </c:cat>
          <c:val>
            <c:numRef>
              <c:f>'Pivots &amp; KPIs'!$C$117:$C$121</c:f>
              <c:numCache>
                <c:formatCode>0</c:formatCode>
                <c:ptCount val="4"/>
                <c:pt idx="0">
                  <c:v>594</c:v>
                </c:pt>
                <c:pt idx="1">
                  <c:v>693</c:v>
                </c:pt>
                <c:pt idx="2">
                  <c:v>606</c:v>
                </c:pt>
                <c:pt idx="3">
                  <c:v>638</c:v>
                </c:pt>
              </c:numCache>
            </c:numRef>
          </c:val>
          <c:smooth val="0"/>
          <c:extLst>
            <c:ext xmlns:c16="http://schemas.microsoft.com/office/drawing/2014/chart" uri="{C3380CC4-5D6E-409C-BE32-E72D297353CC}">
              <c16:uniqueId val="{00000001-8A3F-473F-85D4-94D71777AC23}"/>
            </c:ext>
          </c:extLst>
        </c:ser>
        <c:dLbls>
          <c:showLegendKey val="0"/>
          <c:showVal val="0"/>
          <c:showCatName val="0"/>
          <c:showSerName val="0"/>
          <c:showPercent val="0"/>
          <c:showBubbleSize val="0"/>
        </c:dLbls>
        <c:marker val="1"/>
        <c:smooth val="0"/>
        <c:axId val="49595632"/>
        <c:axId val="49593712"/>
      </c:lineChart>
      <c:catAx>
        <c:axId val="1840069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49180679"/>
        <c:crosses val="autoZero"/>
        <c:auto val="1"/>
        <c:lblAlgn val="ctr"/>
        <c:lblOffset val="100"/>
        <c:noMultiLvlLbl val="0"/>
      </c:catAx>
      <c:valAx>
        <c:axId val="184918067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0069639"/>
        <c:crosses val="autoZero"/>
        <c:crossBetween val="between"/>
      </c:valAx>
      <c:valAx>
        <c:axId val="49593712"/>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595632"/>
        <c:crosses val="max"/>
        <c:crossBetween val="between"/>
      </c:valAx>
      <c:catAx>
        <c:axId val="49595632"/>
        <c:scaling>
          <c:orientation val="minMax"/>
        </c:scaling>
        <c:delete val="1"/>
        <c:axPos val="b"/>
        <c:numFmt formatCode="General" sourceLinked="1"/>
        <c:majorTickMark val="out"/>
        <c:minorTickMark val="none"/>
        <c:tickLblPos val="nextTo"/>
        <c:crossAx val="49593712"/>
        <c:crosses val="autoZero"/>
        <c:auto val="1"/>
        <c:lblAlgn val="ctr"/>
        <c:lblOffset val="100"/>
        <c:noMultiLvlLbl val="0"/>
      </c:catAx>
      <c:spPr>
        <a:noFill/>
        <a:ln>
          <a:noFill/>
        </a:ln>
        <a:effectLst/>
      </c:spPr>
    </c:plotArea>
    <c:legend>
      <c:legendPos val="t"/>
      <c:layout>
        <c:manualLayout>
          <c:xMode val="edge"/>
          <c:yMode val="edge"/>
          <c:x val="0.17533494587686344"/>
          <c:y val="0.17336056542420253"/>
          <c:w val="0.59779380402679627"/>
          <c:h val="7.596271937986144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rgbClr val="FFFFFF"/>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[Marketing-performance-Analysis.xlsx]Pivots &amp; KPIs!PivotTable48</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a:t>Channel Efficiency at a Glance..</a:t>
            </a:r>
          </a:p>
        </c:rich>
      </c:tx>
      <c:layout>
        <c:manualLayout>
          <c:xMode val="edge"/>
          <c:yMode val="edge"/>
          <c:x val="0.23447237493157069"/>
          <c:y val="4.0816118928039963E-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rgbClr val="00B0F0"/>
          </a:solidFill>
          <a:ln>
            <a:solidFill>
              <a:srgbClr val="0070C0"/>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rgbClr val="156082"/>
          </a:solidFill>
          <a:ln>
            <a:solidFill>
              <a:srgbClr val="44B3E1"/>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rgbClr val="BFBFBF"/>
          </a:solidFill>
          <a:ln>
            <a:solidFill>
              <a:srgbClr val="808080"/>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rgbClr val="00B0F0"/>
          </a:solidFill>
          <a:ln>
            <a:solidFill>
              <a:srgbClr val="0070C0"/>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70C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rgbClr val="156082"/>
          </a:solidFill>
          <a:ln>
            <a:solidFill>
              <a:srgbClr val="44B3E1"/>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bg2">
              <a:lumMod val="90000"/>
            </a:schemeClr>
          </a:solidFill>
          <a:ln>
            <a:solidFill>
              <a:srgbClr val="808080"/>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rgbClr val="00B0F0"/>
          </a:solidFill>
          <a:ln>
            <a:solidFill>
              <a:srgbClr val="0070C0"/>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70C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rgbClr val="156082"/>
          </a:solidFill>
          <a:ln>
            <a:solidFill>
              <a:srgbClr val="44B3E1"/>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bg2">
              <a:lumMod val="90000"/>
            </a:schemeClr>
          </a:solidFill>
          <a:ln>
            <a:solidFill>
              <a:srgbClr val="808080"/>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rgbClr val="00B0F0"/>
          </a:solidFill>
          <a:ln>
            <a:solidFill>
              <a:srgbClr val="0070C0"/>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70C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rgbClr val="156082"/>
          </a:solidFill>
          <a:ln>
            <a:solidFill>
              <a:srgbClr val="44B3E1"/>
            </a:solidFill>
            <a:prstDash val="solid"/>
          </a:ln>
          <a:effectLst/>
        </c:spPr>
        <c:marker>
          <c:symbol val="none"/>
        </c:marker>
      </c:pivotFmt>
      <c:pivotFmt>
        <c:idx val="37"/>
        <c:spPr>
          <a:solidFill>
            <a:schemeClr val="bg2">
              <a:lumMod val="90000"/>
            </a:schemeClr>
          </a:solidFill>
          <a:ln>
            <a:solidFill>
              <a:srgbClr val="808080"/>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rgbClr val="00B0F0"/>
          </a:solidFill>
          <a:ln>
            <a:solidFill>
              <a:srgbClr val="0070C0"/>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70C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156082"/>
          </a:solidFill>
          <a:ln>
            <a:solidFill>
              <a:srgbClr val="44B3E1"/>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bg2">
              <a:lumMod val="90000"/>
            </a:schemeClr>
          </a:solidFill>
          <a:ln>
            <a:solidFill>
              <a:srgbClr val="808080"/>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rgbClr val="00B0F0"/>
          </a:solidFill>
          <a:ln>
            <a:solidFill>
              <a:srgbClr val="0070C0"/>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70C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rgbClr val="156082"/>
          </a:solidFill>
          <a:ln>
            <a:solidFill>
              <a:srgbClr val="44B3E1"/>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bg2">
              <a:lumMod val="90000"/>
            </a:schemeClr>
          </a:solidFill>
          <a:ln>
            <a:solidFill>
              <a:srgbClr val="808080"/>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00B0F0"/>
          </a:solidFill>
          <a:ln>
            <a:solidFill>
              <a:srgbClr val="0070C0"/>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70C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rgbClr val="156082"/>
          </a:solidFill>
          <a:ln>
            <a:solidFill>
              <a:srgbClr val="44B3E1"/>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bg2">
              <a:lumMod val="90000"/>
            </a:schemeClr>
          </a:solidFill>
          <a:ln>
            <a:solidFill>
              <a:srgbClr val="808080"/>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rgbClr val="00B0F0"/>
          </a:solidFill>
          <a:ln>
            <a:solidFill>
              <a:srgbClr val="0070C0"/>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70C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156082"/>
          </a:solidFill>
          <a:ln>
            <a:solidFill>
              <a:srgbClr val="44B3E1"/>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bg2">
              <a:lumMod val="90000"/>
            </a:schemeClr>
          </a:solidFill>
          <a:ln>
            <a:solidFill>
              <a:srgbClr val="808080"/>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0"/>
        <c:spPr>
          <a:solidFill>
            <a:srgbClr val="00B0F0"/>
          </a:solidFill>
          <a:ln>
            <a:solidFill>
              <a:srgbClr val="0070C0"/>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70C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1"/>
        <c:spPr>
          <a:solidFill>
            <a:srgbClr val="156082"/>
          </a:solidFill>
          <a:ln>
            <a:solidFill>
              <a:srgbClr val="44B3E1"/>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bg2">
              <a:lumMod val="90000"/>
            </a:schemeClr>
          </a:solidFill>
          <a:ln>
            <a:solidFill>
              <a:srgbClr val="808080"/>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3"/>
        <c:spPr>
          <a:solidFill>
            <a:srgbClr val="00B0F0"/>
          </a:solidFill>
          <a:ln>
            <a:solidFill>
              <a:srgbClr val="0070C0"/>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70C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4"/>
        <c:spPr>
          <a:solidFill>
            <a:srgbClr val="156082"/>
          </a:solidFill>
          <a:ln>
            <a:solidFill>
              <a:srgbClr val="44B3E1"/>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bg2">
              <a:lumMod val="90000"/>
            </a:schemeClr>
          </a:solidFill>
          <a:ln>
            <a:solidFill>
              <a:srgbClr val="808080"/>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6"/>
        <c:spPr>
          <a:solidFill>
            <a:srgbClr val="00B0F0"/>
          </a:solidFill>
          <a:ln>
            <a:solidFill>
              <a:srgbClr val="0070C0"/>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70C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7"/>
        <c:spPr>
          <a:solidFill>
            <a:srgbClr val="156082"/>
          </a:solidFill>
          <a:ln>
            <a:solidFill>
              <a:srgbClr val="44B3E1"/>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bg2">
              <a:lumMod val="90000"/>
            </a:schemeClr>
          </a:solidFill>
          <a:ln>
            <a:solidFill>
              <a:srgbClr val="808080"/>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9"/>
        <c:spPr>
          <a:solidFill>
            <a:srgbClr val="00B0F0"/>
          </a:solidFill>
          <a:ln>
            <a:solidFill>
              <a:srgbClr val="0070C0"/>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70C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0"/>
        <c:spPr>
          <a:solidFill>
            <a:srgbClr val="156082"/>
          </a:solidFill>
          <a:ln>
            <a:solidFill>
              <a:srgbClr val="44B3E1"/>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bg2">
              <a:lumMod val="90000"/>
            </a:schemeClr>
          </a:solidFill>
          <a:ln>
            <a:solidFill>
              <a:srgbClr val="808080"/>
            </a:solidFill>
            <a:prstDash val="solid"/>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411469249797011"/>
          <c:y val="0.31967303229340799"/>
          <c:w val="0.75388684328128053"/>
          <c:h val="0.59398783157823631"/>
        </c:manualLayout>
      </c:layout>
      <c:barChart>
        <c:barDir val="bar"/>
        <c:grouping val="clustered"/>
        <c:varyColors val="0"/>
        <c:ser>
          <c:idx val="0"/>
          <c:order val="0"/>
          <c:tx>
            <c:strRef>
              <c:f>'Pivots &amp; KPIs'!$G$116</c:f>
              <c:strCache>
                <c:ptCount val="1"/>
                <c:pt idx="0">
                  <c:v>CTR</c:v>
                </c:pt>
              </c:strCache>
            </c:strRef>
          </c:tx>
          <c:spPr>
            <a:solidFill>
              <a:srgbClr val="00B0F0"/>
            </a:solidFill>
            <a:ln>
              <a:solidFill>
                <a:srgbClr val="0070C0"/>
              </a:solidFill>
              <a:prstDash val="soli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70C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&amp; KPIs'!$F$117:$F$121</c:f>
              <c:strCache>
                <c:ptCount val="4"/>
                <c:pt idx="0">
                  <c:v>Direct Mail</c:v>
                </c:pt>
                <c:pt idx="1">
                  <c:v>Email</c:v>
                </c:pt>
                <c:pt idx="2">
                  <c:v>Search Engine</c:v>
                </c:pt>
                <c:pt idx="3">
                  <c:v>Social Media</c:v>
                </c:pt>
              </c:strCache>
            </c:strRef>
          </c:cat>
          <c:val>
            <c:numRef>
              <c:f>'Pivots &amp; KPIs'!$G$117:$G$121</c:f>
              <c:numCache>
                <c:formatCode>0%</c:formatCode>
                <c:ptCount val="4"/>
                <c:pt idx="0">
                  <c:v>0.132525</c:v>
                </c:pt>
                <c:pt idx="1">
                  <c:v>0.14615666666666668</c:v>
                </c:pt>
                <c:pt idx="2">
                  <c:v>0.16439999999999999</c:v>
                </c:pt>
                <c:pt idx="3">
                  <c:v>0.10874400000000001</c:v>
                </c:pt>
              </c:numCache>
            </c:numRef>
          </c:val>
          <c:extLst>
            <c:ext xmlns:c16="http://schemas.microsoft.com/office/drawing/2014/chart" uri="{C3380CC4-5D6E-409C-BE32-E72D297353CC}">
              <c16:uniqueId val="{00000000-13D9-4998-9D56-C76936CB3650}"/>
            </c:ext>
          </c:extLst>
        </c:ser>
        <c:ser>
          <c:idx val="2"/>
          <c:order val="2"/>
          <c:tx>
            <c:strRef>
              <c:f>'Pivots &amp; KPIs'!$I$116</c:f>
              <c:strCache>
                <c:ptCount val="1"/>
                <c:pt idx="0">
                  <c:v>ROI %</c:v>
                </c:pt>
              </c:strCache>
            </c:strRef>
          </c:tx>
          <c:spPr>
            <a:solidFill>
              <a:srgbClr val="156082"/>
            </a:solidFill>
            <a:ln>
              <a:solidFill>
                <a:srgbClr val="44B3E1"/>
              </a:solidFill>
              <a:prstDash val="solid"/>
            </a:ln>
            <a:effectLst/>
          </c:spPr>
          <c:invertIfNegative val="0"/>
          <c:cat>
            <c:strRef>
              <c:f>'Pivots &amp; KPIs'!$F$117:$F$121</c:f>
              <c:strCache>
                <c:ptCount val="4"/>
                <c:pt idx="0">
                  <c:v>Direct Mail</c:v>
                </c:pt>
                <c:pt idx="1">
                  <c:v>Email</c:v>
                </c:pt>
                <c:pt idx="2">
                  <c:v>Search Engine</c:v>
                </c:pt>
                <c:pt idx="3">
                  <c:v>Social Media</c:v>
                </c:pt>
              </c:strCache>
            </c:strRef>
          </c:cat>
          <c:val>
            <c:numRef>
              <c:f>'Pivots &amp; KPIs'!$I$117:$I$121</c:f>
              <c:numCache>
                <c:formatCode>0%</c:formatCode>
                <c:ptCount val="4"/>
                <c:pt idx="0">
                  <c:v>3.1983649999999995</c:v>
                </c:pt>
                <c:pt idx="1">
                  <c:v>4.5236666666666681</c:v>
                </c:pt>
                <c:pt idx="2">
                  <c:v>4.9899599999999991</c:v>
                </c:pt>
                <c:pt idx="3">
                  <c:v>4.9274759999999995</c:v>
                </c:pt>
              </c:numCache>
            </c:numRef>
          </c:val>
          <c:extLst>
            <c:ext xmlns:c16="http://schemas.microsoft.com/office/drawing/2014/chart" uri="{C3380CC4-5D6E-409C-BE32-E72D297353CC}">
              <c16:uniqueId val="{00000002-13D9-4998-9D56-C76936CB3650}"/>
            </c:ext>
          </c:extLst>
        </c:ser>
        <c:dLbls>
          <c:showLegendKey val="0"/>
          <c:showVal val="0"/>
          <c:showCatName val="0"/>
          <c:showSerName val="0"/>
          <c:showPercent val="0"/>
          <c:showBubbleSize val="0"/>
        </c:dLbls>
        <c:gapWidth val="0"/>
        <c:axId val="1849430023"/>
        <c:axId val="1849434119"/>
      </c:barChart>
      <c:barChart>
        <c:barDir val="bar"/>
        <c:grouping val="clustered"/>
        <c:varyColors val="0"/>
        <c:ser>
          <c:idx val="1"/>
          <c:order val="1"/>
          <c:tx>
            <c:strRef>
              <c:f>'Pivots &amp; KPIs'!$H$116</c:f>
              <c:strCache>
                <c:ptCount val="1"/>
                <c:pt idx="0">
                  <c:v>CPC</c:v>
                </c:pt>
              </c:strCache>
            </c:strRef>
          </c:tx>
          <c:spPr>
            <a:solidFill>
              <a:schemeClr val="bg2">
                <a:lumMod val="90000"/>
              </a:schemeClr>
            </a:solidFill>
            <a:ln>
              <a:solidFill>
                <a:srgbClr val="808080"/>
              </a:solidFill>
              <a:prstDash val="solid"/>
            </a:ln>
            <a:effectLst/>
          </c:spPr>
          <c:invertIfNegative val="0"/>
          <c:dLbls>
            <c:spPr>
              <a:solidFill>
                <a:srgbClr val="FFFF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&amp; KPIs'!$F$117:$F$121</c:f>
              <c:strCache>
                <c:ptCount val="4"/>
                <c:pt idx="0">
                  <c:v>Direct Mail</c:v>
                </c:pt>
                <c:pt idx="1">
                  <c:v>Email</c:v>
                </c:pt>
                <c:pt idx="2">
                  <c:v>Search Engine</c:v>
                </c:pt>
                <c:pt idx="3">
                  <c:v>Social Media</c:v>
                </c:pt>
              </c:strCache>
            </c:strRef>
          </c:cat>
          <c:val>
            <c:numRef>
              <c:f>'Pivots &amp; KPIs'!$H$117:$H$121</c:f>
              <c:numCache>
                <c:formatCode>0</c:formatCode>
                <c:ptCount val="4"/>
                <c:pt idx="0">
                  <c:v>8.3925000000000018</c:v>
                </c:pt>
                <c:pt idx="1">
                  <c:v>5.625</c:v>
                </c:pt>
                <c:pt idx="2">
                  <c:v>5.4536000000000016</c:v>
                </c:pt>
                <c:pt idx="3">
                  <c:v>7.3651999999999989</c:v>
                </c:pt>
              </c:numCache>
            </c:numRef>
          </c:val>
          <c:extLst>
            <c:ext xmlns:c16="http://schemas.microsoft.com/office/drawing/2014/chart" uri="{C3380CC4-5D6E-409C-BE32-E72D297353CC}">
              <c16:uniqueId val="{00000001-13D9-4998-9D56-C76936CB3650}"/>
            </c:ext>
          </c:extLst>
        </c:ser>
        <c:dLbls>
          <c:showLegendKey val="0"/>
          <c:showVal val="0"/>
          <c:showCatName val="0"/>
          <c:showSerName val="0"/>
          <c:showPercent val="0"/>
          <c:showBubbleSize val="0"/>
        </c:dLbls>
        <c:gapWidth val="184"/>
        <c:axId val="1953176496"/>
        <c:axId val="1953175536"/>
      </c:barChart>
      <c:catAx>
        <c:axId val="18494300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49434119"/>
        <c:crosses val="autoZero"/>
        <c:auto val="1"/>
        <c:lblAlgn val="ctr"/>
        <c:lblOffset val="100"/>
        <c:noMultiLvlLbl val="0"/>
      </c:catAx>
      <c:valAx>
        <c:axId val="1849434119"/>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9430023"/>
        <c:crosses val="autoZero"/>
        <c:crossBetween val="between"/>
      </c:valAx>
      <c:valAx>
        <c:axId val="1953175536"/>
        <c:scaling>
          <c:orientation val="minMax"/>
        </c:scaling>
        <c:delete val="0"/>
        <c:axPos val="t"/>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3176496"/>
        <c:crosses val="max"/>
        <c:crossBetween val="between"/>
      </c:valAx>
      <c:catAx>
        <c:axId val="1953176496"/>
        <c:scaling>
          <c:orientation val="minMax"/>
        </c:scaling>
        <c:delete val="1"/>
        <c:axPos val="l"/>
        <c:numFmt formatCode="General" sourceLinked="1"/>
        <c:majorTickMark val="out"/>
        <c:minorTickMark val="none"/>
        <c:tickLblPos val="nextTo"/>
        <c:crossAx val="1953175536"/>
        <c:crosses val="autoZero"/>
        <c:auto val="1"/>
        <c:lblAlgn val="ctr"/>
        <c:lblOffset val="100"/>
        <c:noMultiLvlLbl val="0"/>
      </c:catAx>
      <c:spPr>
        <a:noFill/>
        <a:ln>
          <a:noFill/>
        </a:ln>
        <a:effectLst/>
      </c:spPr>
    </c:plotArea>
    <c:legend>
      <c:legendPos val="t"/>
      <c:layout>
        <c:manualLayout>
          <c:xMode val="edge"/>
          <c:yMode val="edge"/>
          <c:x val="0.30521920668058455"/>
          <c:y val="9.7102505044012355E-2"/>
          <c:w val="0.31518445086450525"/>
          <c:h val="8.0415144675893363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rgbClr val="FFFFFF"/>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[Marketing-performance-Analysis.xlsx]Pivots &amp; KPIs!PivotTable47</c:name>
    <c:fmtId val="2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a:t>Conversions &amp; Revenue Trends Over Time</a:t>
            </a:r>
          </a:p>
        </c:rich>
      </c:tx>
      <c:layout>
        <c:manualLayout>
          <c:xMode val="edge"/>
          <c:yMode val="edge"/>
          <c:x val="0.17486767204912304"/>
          <c:y val="5.4237701933262722E-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pivotFmt>
      <c:pivotFmt>
        <c:idx val="25"/>
        <c:spPr>
          <a:solidFill>
            <a:schemeClr val="accent1"/>
          </a:solidFill>
          <a:ln w="28575" cap="rnd">
            <a:solidFill>
              <a:schemeClr val="accent1"/>
            </a:solidFill>
            <a:round/>
          </a:ln>
          <a:effectLst/>
        </c:spPr>
        <c:marker>
          <c:symbol val="none"/>
        </c:marker>
      </c:pivotFmt>
      <c:pivotFmt>
        <c:idx val="26"/>
        <c:spPr>
          <a:solidFill>
            <a:schemeClr val="accent1"/>
          </a:solidFill>
          <a:ln w="28575" cap="rnd">
            <a:solidFill>
              <a:srgbClr val="E97132"/>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rgbClr val="4EA72E"/>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rgbClr val="A02B93"/>
            </a:solidFill>
            <a:prstDash val="solid"/>
            <a:round/>
          </a:ln>
          <a:effectLst/>
        </c:spPr>
        <c:marker>
          <c:symbol val="circle"/>
          <c:size val="5"/>
          <c:spPr>
            <a:solidFill>
              <a:srgbClr val="F2CEEF"/>
            </a:solidFill>
            <a:ln w="9525">
              <a:solidFill>
                <a:srgbClr val="A02B93"/>
              </a:solidFill>
              <a:prstDash val="soli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rgbClr val="156082"/>
            </a:solidFill>
            <a:prstDash val="solid"/>
            <a:round/>
          </a:ln>
          <a:effectLst/>
        </c:spPr>
        <c:marker>
          <c:symbol val="circle"/>
          <c:size val="5"/>
          <c:spPr>
            <a:solidFill>
              <a:srgbClr val="83CCEB"/>
            </a:solidFill>
            <a:ln w="9525">
              <a:solidFill>
                <a:srgbClr val="156082"/>
              </a:solidFill>
              <a:prstDash val="soli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rgbClr val="E97132"/>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rgbClr val="4EA72E"/>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rgbClr val="A02B93"/>
            </a:solidFill>
            <a:prstDash val="solid"/>
            <a:round/>
          </a:ln>
          <a:effectLst/>
        </c:spPr>
        <c:marker>
          <c:symbol val="circle"/>
          <c:size val="5"/>
          <c:spPr>
            <a:solidFill>
              <a:srgbClr val="F2CEEF"/>
            </a:solidFill>
            <a:ln w="9525">
              <a:solidFill>
                <a:srgbClr val="A02B93"/>
              </a:solidFill>
              <a:prstDash val="soli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rgbClr val="156082"/>
            </a:solidFill>
            <a:prstDash val="solid"/>
            <a:round/>
          </a:ln>
          <a:effectLst/>
        </c:spPr>
        <c:marker>
          <c:symbol val="circle"/>
          <c:size val="5"/>
          <c:spPr>
            <a:solidFill>
              <a:srgbClr val="83CCEB"/>
            </a:solidFill>
            <a:ln w="9525">
              <a:solidFill>
                <a:srgbClr val="156082"/>
              </a:solidFill>
              <a:prstDash val="soli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rgbClr val="E97132"/>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rgbClr val="4EA72E"/>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rgbClr val="A02B93"/>
            </a:solidFill>
            <a:prstDash val="solid"/>
            <a:round/>
          </a:ln>
          <a:effectLst/>
        </c:spPr>
        <c:marker>
          <c:symbol val="circle"/>
          <c:size val="5"/>
          <c:spPr>
            <a:solidFill>
              <a:srgbClr val="F2CEEF"/>
            </a:solidFill>
            <a:ln w="9525">
              <a:solidFill>
                <a:srgbClr val="A02B93"/>
              </a:solidFill>
              <a:prstDash val="soli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rgbClr val="156082"/>
            </a:solidFill>
            <a:prstDash val="solid"/>
            <a:round/>
          </a:ln>
          <a:effectLst/>
        </c:spPr>
        <c:marker>
          <c:symbol val="circle"/>
          <c:size val="5"/>
          <c:spPr>
            <a:solidFill>
              <a:srgbClr val="83CCEB"/>
            </a:solidFill>
            <a:ln w="9525">
              <a:solidFill>
                <a:srgbClr val="156082"/>
              </a:solidFill>
              <a:prstDash val="soli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rgbClr val="E97132"/>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rgbClr val="4EA72E"/>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rgbClr val="A02B93"/>
            </a:solidFill>
            <a:prstDash val="solid"/>
            <a:round/>
          </a:ln>
          <a:effectLst/>
        </c:spPr>
        <c:marker>
          <c:symbol val="circle"/>
          <c:size val="5"/>
          <c:spPr>
            <a:solidFill>
              <a:srgbClr val="F2CEEF"/>
            </a:solidFill>
            <a:ln w="9525">
              <a:solidFill>
                <a:srgbClr val="A02B93"/>
              </a:solidFill>
              <a:prstDash val="soli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rgbClr val="156082"/>
            </a:solidFill>
            <a:prstDash val="solid"/>
            <a:round/>
          </a:ln>
          <a:effectLst/>
        </c:spPr>
        <c:marker>
          <c:symbol val="circle"/>
          <c:size val="5"/>
          <c:spPr>
            <a:solidFill>
              <a:srgbClr val="83CCEB"/>
            </a:solidFill>
            <a:ln w="9525">
              <a:solidFill>
                <a:srgbClr val="156082"/>
              </a:solidFill>
              <a:prstDash val="soli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rgbClr val="E97132"/>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rgbClr val="4EA72E"/>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rgbClr val="A02B93"/>
            </a:solidFill>
            <a:prstDash val="solid"/>
            <a:round/>
          </a:ln>
          <a:effectLst/>
        </c:spPr>
        <c:marker>
          <c:symbol val="circle"/>
          <c:size val="5"/>
          <c:spPr>
            <a:solidFill>
              <a:srgbClr val="F2CEEF"/>
            </a:solidFill>
            <a:ln w="9525">
              <a:solidFill>
                <a:srgbClr val="A02B93"/>
              </a:solidFill>
              <a:prstDash val="soli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rgbClr val="156082"/>
            </a:solidFill>
            <a:prstDash val="solid"/>
            <a:round/>
          </a:ln>
          <a:effectLst/>
        </c:spPr>
        <c:marker>
          <c:symbol val="circle"/>
          <c:size val="5"/>
          <c:spPr>
            <a:solidFill>
              <a:srgbClr val="83CCEB"/>
            </a:solidFill>
            <a:ln w="9525">
              <a:solidFill>
                <a:srgbClr val="156082"/>
              </a:solidFill>
              <a:prstDash val="soli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5608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rgbClr val="156082"/>
            </a:solidFill>
            <a:prstDash val="solid"/>
            <a:round/>
          </a:ln>
          <a:effectLst/>
        </c:spPr>
        <c:marker>
          <c:symbol val="circle"/>
          <c:size val="5"/>
          <c:spPr>
            <a:solidFill>
              <a:srgbClr val="83CCEB"/>
            </a:solidFill>
            <a:ln w="9525">
              <a:solidFill>
                <a:srgbClr val="156082"/>
              </a:solidFill>
              <a:prstDash val="solid"/>
            </a:ln>
            <a:effectLst/>
          </c:spPr>
        </c:marker>
        <c:dLbl>
          <c:idx val="0"/>
          <c:layout>
            <c:manualLayout>
              <c:x val="-6.6420490542130506E-2"/>
              <c:y val="-7.147888332140309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5608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rgbClr val="156082"/>
            </a:solidFill>
            <a:prstDash val="solid"/>
            <a:round/>
          </a:ln>
          <a:effectLst/>
        </c:spPr>
        <c:marker>
          <c:symbol val="circle"/>
          <c:size val="5"/>
          <c:spPr>
            <a:solidFill>
              <a:srgbClr val="83CCEB"/>
            </a:solidFill>
            <a:ln w="9525">
              <a:solidFill>
                <a:srgbClr val="156082"/>
              </a:solidFill>
              <a:prstDash val="solid"/>
            </a:ln>
            <a:effectLst/>
          </c:spPr>
        </c:marker>
        <c:dLbl>
          <c:idx val="0"/>
          <c:layout>
            <c:manualLayout>
              <c:x val="-4.9179111231785803E-2"/>
              <c:y val="-6.056979241231209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5608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rgbClr val="E97132"/>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rgbClr val="4EA72E"/>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rgbClr val="A02B93"/>
            </a:solidFill>
            <a:prstDash val="solid"/>
            <a:round/>
          </a:ln>
          <a:effectLst/>
        </c:spPr>
        <c:marker>
          <c:symbol val="circle"/>
          <c:size val="5"/>
          <c:spPr>
            <a:solidFill>
              <a:srgbClr val="F2CEEF"/>
            </a:solidFill>
            <a:ln w="9525">
              <a:solidFill>
                <a:srgbClr val="A02B93"/>
              </a:solidFill>
              <a:prstDash val="soli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rgbClr val="156082"/>
            </a:solidFill>
            <a:prstDash val="solid"/>
            <a:round/>
          </a:ln>
          <a:effectLst/>
        </c:spPr>
        <c:marker>
          <c:symbol val="circle"/>
          <c:size val="5"/>
          <c:spPr>
            <a:solidFill>
              <a:srgbClr val="83CCEB"/>
            </a:solidFill>
            <a:ln w="9525">
              <a:solidFill>
                <a:srgbClr val="156082"/>
              </a:solidFill>
              <a:prstDash val="soli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5608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rgbClr val="156082"/>
            </a:solidFill>
            <a:prstDash val="solid"/>
            <a:round/>
          </a:ln>
          <a:effectLst/>
        </c:spPr>
        <c:marker>
          <c:symbol val="circle"/>
          <c:size val="5"/>
          <c:spPr>
            <a:solidFill>
              <a:srgbClr val="83CCEB"/>
            </a:solidFill>
            <a:ln w="9525">
              <a:solidFill>
                <a:srgbClr val="156082"/>
              </a:solidFill>
              <a:prstDash val="solid"/>
            </a:ln>
            <a:effectLst/>
          </c:spPr>
        </c:marker>
        <c:dLbl>
          <c:idx val="0"/>
          <c:layout>
            <c:manualLayout>
              <c:x val="-6.6420490542130506E-2"/>
              <c:y val="-7.147888332140309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5608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rgbClr val="156082"/>
            </a:solidFill>
            <a:prstDash val="solid"/>
            <a:round/>
          </a:ln>
          <a:effectLst/>
        </c:spPr>
        <c:marker>
          <c:symbol val="circle"/>
          <c:size val="5"/>
          <c:spPr>
            <a:solidFill>
              <a:srgbClr val="83CCEB"/>
            </a:solidFill>
            <a:ln w="9525">
              <a:solidFill>
                <a:srgbClr val="156082"/>
              </a:solidFill>
              <a:prstDash val="solid"/>
            </a:ln>
            <a:effectLst/>
          </c:spPr>
        </c:marker>
        <c:dLbl>
          <c:idx val="0"/>
          <c:layout>
            <c:manualLayout>
              <c:x val="-4.9179111231785803E-2"/>
              <c:y val="-6.056979241231209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5608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rgbClr val="E97132"/>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rgbClr val="4EA72E"/>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rgbClr val="A02B93"/>
            </a:solidFill>
            <a:prstDash val="solid"/>
            <a:round/>
          </a:ln>
          <a:effectLst/>
        </c:spPr>
        <c:marker>
          <c:symbol val="circle"/>
          <c:size val="5"/>
          <c:spPr>
            <a:solidFill>
              <a:srgbClr val="F2CEEF"/>
            </a:solidFill>
            <a:ln w="9525">
              <a:solidFill>
                <a:srgbClr val="A02B93"/>
              </a:solidFill>
              <a:prstDash val="soli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rgbClr val="156082"/>
            </a:solidFill>
            <a:prstDash val="solid"/>
            <a:round/>
          </a:ln>
          <a:effectLst/>
        </c:spPr>
        <c:marker>
          <c:symbol val="circle"/>
          <c:size val="5"/>
          <c:spPr>
            <a:solidFill>
              <a:srgbClr val="83CCEB"/>
            </a:solidFill>
            <a:ln w="9525">
              <a:solidFill>
                <a:srgbClr val="156082"/>
              </a:solidFill>
              <a:prstDash val="soli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5608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8575" cap="rnd">
            <a:solidFill>
              <a:srgbClr val="156082"/>
            </a:solidFill>
            <a:prstDash val="solid"/>
            <a:round/>
          </a:ln>
          <a:effectLst/>
        </c:spPr>
        <c:marker>
          <c:symbol val="circle"/>
          <c:size val="5"/>
          <c:spPr>
            <a:solidFill>
              <a:srgbClr val="83CCEB"/>
            </a:solidFill>
            <a:ln w="9525">
              <a:solidFill>
                <a:srgbClr val="156082"/>
              </a:solidFill>
              <a:prstDash val="solid"/>
            </a:ln>
            <a:effectLst/>
          </c:spPr>
        </c:marker>
        <c:dLbl>
          <c:idx val="0"/>
          <c:layout>
            <c:manualLayout>
              <c:x val="-6.6420490542130506E-2"/>
              <c:y val="-7.147888332140309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5608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8575" cap="rnd">
            <a:solidFill>
              <a:srgbClr val="156082"/>
            </a:solidFill>
            <a:prstDash val="solid"/>
            <a:round/>
          </a:ln>
          <a:effectLst/>
        </c:spPr>
        <c:marker>
          <c:symbol val="circle"/>
          <c:size val="5"/>
          <c:spPr>
            <a:solidFill>
              <a:srgbClr val="83CCEB"/>
            </a:solidFill>
            <a:ln w="9525">
              <a:solidFill>
                <a:srgbClr val="156082"/>
              </a:solidFill>
              <a:prstDash val="solid"/>
            </a:ln>
            <a:effectLst/>
          </c:spPr>
        </c:marker>
        <c:dLbl>
          <c:idx val="0"/>
          <c:layout>
            <c:manualLayout>
              <c:x val="-4.9179111231785803E-2"/>
              <c:y val="-6.056979241231209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5608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8575" cap="rnd">
            <a:solidFill>
              <a:srgbClr val="E97132"/>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w="28575" cap="rnd">
            <a:solidFill>
              <a:srgbClr val="4EA72E"/>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8575" cap="rnd">
            <a:solidFill>
              <a:srgbClr val="A02B93"/>
            </a:solidFill>
            <a:prstDash val="solid"/>
            <a:round/>
          </a:ln>
          <a:effectLst/>
        </c:spPr>
        <c:marker>
          <c:symbol val="circle"/>
          <c:size val="5"/>
          <c:spPr>
            <a:solidFill>
              <a:srgbClr val="F2CEEF"/>
            </a:solidFill>
            <a:ln w="9525">
              <a:solidFill>
                <a:srgbClr val="A02B93"/>
              </a:solidFill>
              <a:prstDash val="soli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1"/>
          </a:solidFill>
          <a:ln w="28575" cap="rnd">
            <a:solidFill>
              <a:srgbClr val="156082"/>
            </a:solidFill>
            <a:prstDash val="solid"/>
            <a:round/>
          </a:ln>
          <a:effectLst/>
        </c:spPr>
        <c:marker>
          <c:symbol val="circle"/>
          <c:size val="5"/>
          <c:spPr>
            <a:solidFill>
              <a:srgbClr val="83CCEB"/>
            </a:solidFill>
            <a:ln w="9525">
              <a:solidFill>
                <a:srgbClr val="156082"/>
              </a:solidFill>
              <a:prstDash val="soli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5608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1"/>
          </a:solidFill>
          <a:ln w="28575" cap="rnd">
            <a:solidFill>
              <a:srgbClr val="156082"/>
            </a:solidFill>
            <a:prstDash val="solid"/>
            <a:round/>
          </a:ln>
          <a:effectLst/>
        </c:spPr>
        <c:marker>
          <c:symbol val="circle"/>
          <c:size val="5"/>
          <c:spPr>
            <a:solidFill>
              <a:srgbClr val="83CCEB"/>
            </a:solidFill>
            <a:ln w="9525">
              <a:solidFill>
                <a:srgbClr val="156082"/>
              </a:solidFill>
              <a:prstDash val="solid"/>
            </a:ln>
            <a:effectLst/>
          </c:spPr>
        </c:marker>
        <c:dLbl>
          <c:idx val="0"/>
          <c:layout>
            <c:manualLayout>
              <c:x val="-6.6420490542130506E-2"/>
              <c:y val="-7.147888332140309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5608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1"/>
          </a:solidFill>
          <a:ln w="28575" cap="rnd">
            <a:solidFill>
              <a:srgbClr val="156082"/>
            </a:solidFill>
            <a:prstDash val="solid"/>
            <a:round/>
          </a:ln>
          <a:effectLst/>
        </c:spPr>
        <c:marker>
          <c:symbol val="circle"/>
          <c:size val="5"/>
          <c:spPr>
            <a:solidFill>
              <a:srgbClr val="83CCEB"/>
            </a:solidFill>
            <a:ln w="9525">
              <a:solidFill>
                <a:srgbClr val="156082"/>
              </a:solidFill>
              <a:prstDash val="solid"/>
            </a:ln>
            <a:effectLst/>
          </c:spPr>
        </c:marker>
        <c:dLbl>
          <c:idx val="0"/>
          <c:layout>
            <c:manualLayout>
              <c:x val="-4.9179111231785803E-2"/>
              <c:y val="-6.056979241231209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5608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solidFill>
          <a:ln w="28575" cap="rnd">
            <a:solidFill>
              <a:srgbClr val="E97132"/>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w="28575" cap="rnd">
            <a:solidFill>
              <a:srgbClr val="4EA72E"/>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w="28575" cap="rnd">
            <a:solidFill>
              <a:srgbClr val="A02B93"/>
            </a:solidFill>
            <a:prstDash val="solid"/>
            <a:round/>
          </a:ln>
          <a:effectLst/>
        </c:spPr>
        <c:marker>
          <c:symbol val="circle"/>
          <c:size val="5"/>
          <c:spPr>
            <a:solidFill>
              <a:srgbClr val="F2CEEF"/>
            </a:solidFill>
            <a:ln w="9525">
              <a:solidFill>
                <a:srgbClr val="A02B93"/>
              </a:solidFill>
              <a:prstDash val="soli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1"/>
          </a:solidFill>
          <a:ln w="28575" cap="rnd">
            <a:solidFill>
              <a:srgbClr val="156082"/>
            </a:solidFill>
            <a:prstDash val="solid"/>
            <a:round/>
          </a:ln>
          <a:effectLst/>
        </c:spPr>
        <c:marker>
          <c:symbol val="circle"/>
          <c:size val="5"/>
          <c:spPr>
            <a:solidFill>
              <a:srgbClr val="83CCEB"/>
            </a:solidFill>
            <a:ln w="9525">
              <a:solidFill>
                <a:srgbClr val="156082"/>
              </a:solidFill>
              <a:prstDash val="soli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5608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1"/>
          </a:solidFill>
          <a:ln w="28575" cap="rnd">
            <a:solidFill>
              <a:srgbClr val="156082"/>
            </a:solidFill>
            <a:prstDash val="solid"/>
            <a:round/>
          </a:ln>
          <a:effectLst/>
        </c:spPr>
        <c:marker>
          <c:symbol val="circle"/>
          <c:size val="5"/>
          <c:spPr>
            <a:solidFill>
              <a:srgbClr val="83CCEB"/>
            </a:solidFill>
            <a:ln w="9525">
              <a:solidFill>
                <a:srgbClr val="156082"/>
              </a:solidFill>
              <a:prstDash val="solid"/>
            </a:ln>
            <a:effectLst/>
          </c:spPr>
        </c:marker>
        <c:dLbl>
          <c:idx val="0"/>
          <c:layout>
            <c:manualLayout>
              <c:x val="-6.6420490542130506E-2"/>
              <c:y val="-7.147888332140309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5608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1"/>
          </a:solidFill>
          <a:ln w="28575" cap="rnd">
            <a:solidFill>
              <a:srgbClr val="156082"/>
            </a:solidFill>
            <a:prstDash val="solid"/>
            <a:round/>
          </a:ln>
          <a:effectLst/>
        </c:spPr>
        <c:marker>
          <c:symbol val="circle"/>
          <c:size val="5"/>
          <c:spPr>
            <a:solidFill>
              <a:srgbClr val="83CCEB"/>
            </a:solidFill>
            <a:ln w="9525">
              <a:solidFill>
                <a:srgbClr val="156082"/>
              </a:solidFill>
              <a:prstDash val="solid"/>
            </a:ln>
            <a:effectLst/>
          </c:spPr>
        </c:marker>
        <c:dLbl>
          <c:idx val="0"/>
          <c:layout>
            <c:manualLayout>
              <c:x val="-4.9179111231785803E-2"/>
              <c:y val="-6.056979241231209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5608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1"/>
          </a:solidFill>
          <a:ln w="28575" cap="rnd">
            <a:solidFill>
              <a:srgbClr val="E97132"/>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w="28575" cap="rnd">
            <a:solidFill>
              <a:srgbClr val="4EA72E"/>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w="28575" cap="rnd">
            <a:solidFill>
              <a:srgbClr val="A02B93"/>
            </a:solidFill>
            <a:prstDash val="solid"/>
            <a:round/>
          </a:ln>
          <a:effectLst/>
        </c:spPr>
        <c:marker>
          <c:symbol val="circle"/>
          <c:size val="5"/>
          <c:spPr>
            <a:solidFill>
              <a:srgbClr val="F2CEEF"/>
            </a:solidFill>
            <a:ln w="9525">
              <a:solidFill>
                <a:srgbClr val="A02B93"/>
              </a:solidFill>
              <a:prstDash val="soli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5"/>
        <c:spPr>
          <a:solidFill>
            <a:schemeClr val="accent1"/>
          </a:solidFill>
          <a:ln w="28575" cap="rnd">
            <a:solidFill>
              <a:srgbClr val="156082"/>
            </a:solidFill>
            <a:prstDash val="solid"/>
            <a:round/>
          </a:ln>
          <a:effectLst/>
        </c:spPr>
        <c:marker>
          <c:symbol val="circle"/>
          <c:size val="5"/>
          <c:spPr>
            <a:solidFill>
              <a:srgbClr val="83CCEB"/>
            </a:solidFill>
            <a:ln w="9525">
              <a:solidFill>
                <a:srgbClr val="156082"/>
              </a:solidFill>
              <a:prstDash val="soli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5608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6"/>
        <c:spPr>
          <a:solidFill>
            <a:schemeClr val="accent1"/>
          </a:solidFill>
          <a:ln w="28575" cap="rnd">
            <a:solidFill>
              <a:srgbClr val="156082"/>
            </a:solidFill>
            <a:prstDash val="solid"/>
            <a:round/>
          </a:ln>
          <a:effectLst/>
        </c:spPr>
        <c:marker>
          <c:symbol val="circle"/>
          <c:size val="5"/>
          <c:spPr>
            <a:solidFill>
              <a:srgbClr val="83CCEB"/>
            </a:solidFill>
            <a:ln w="9525">
              <a:solidFill>
                <a:srgbClr val="156082"/>
              </a:solidFill>
              <a:prstDash val="solid"/>
            </a:ln>
            <a:effectLst/>
          </c:spPr>
        </c:marker>
        <c:dLbl>
          <c:idx val="0"/>
          <c:layout>
            <c:manualLayout>
              <c:x val="-6.6420490542130506E-2"/>
              <c:y val="-7.147888332140309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5608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7"/>
        <c:spPr>
          <a:solidFill>
            <a:schemeClr val="accent1"/>
          </a:solidFill>
          <a:ln w="28575" cap="rnd">
            <a:solidFill>
              <a:srgbClr val="156082"/>
            </a:solidFill>
            <a:prstDash val="solid"/>
            <a:round/>
          </a:ln>
          <a:effectLst/>
        </c:spPr>
        <c:marker>
          <c:symbol val="circle"/>
          <c:size val="5"/>
          <c:spPr>
            <a:solidFill>
              <a:srgbClr val="83CCEB"/>
            </a:solidFill>
            <a:ln w="9525">
              <a:solidFill>
                <a:srgbClr val="156082"/>
              </a:solidFill>
              <a:prstDash val="solid"/>
            </a:ln>
            <a:effectLst/>
          </c:spPr>
        </c:marker>
        <c:dLbl>
          <c:idx val="0"/>
          <c:layout>
            <c:manualLayout>
              <c:x val="-4.9179111231785803E-2"/>
              <c:y val="-6.056979241231209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5608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8"/>
        <c:spPr>
          <a:solidFill>
            <a:schemeClr val="accent1"/>
          </a:solidFill>
          <a:ln w="28575" cap="rnd">
            <a:solidFill>
              <a:srgbClr val="E97132"/>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w="28575" cap="rnd">
            <a:solidFill>
              <a:srgbClr val="4EA72E"/>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w="28575" cap="rnd">
            <a:solidFill>
              <a:srgbClr val="A02B93"/>
            </a:solidFill>
            <a:prstDash val="solid"/>
            <a:round/>
          </a:ln>
          <a:effectLst/>
        </c:spPr>
        <c:marker>
          <c:symbol val="circle"/>
          <c:size val="5"/>
          <c:spPr>
            <a:solidFill>
              <a:srgbClr val="F2CEEF"/>
            </a:solidFill>
            <a:ln w="9525">
              <a:solidFill>
                <a:srgbClr val="A02B93"/>
              </a:solidFill>
              <a:prstDash val="soli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1"/>
        <c:spPr>
          <a:solidFill>
            <a:schemeClr val="accent1"/>
          </a:solidFill>
          <a:ln w="28575" cap="rnd">
            <a:solidFill>
              <a:srgbClr val="156082"/>
            </a:solidFill>
            <a:prstDash val="solid"/>
            <a:round/>
          </a:ln>
          <a:effectLst/>
        </c:spPr>
        <c:marker>
          <c:symbol val="circle"/>
          <c:size val="5"/>
          <c:spPr>
            <a:solidFill>
              <a:srgbClr val="83CCEB"/>
            </a:solidFill>
            <a:ln w="9525">
              <a:solidFill>
                <a:srgbClr val="156082"/>
              </a:solidFill>
              <a:prstDash val="solid"/>
            </a:ln>
            <a:effectLst/>
          </c:spPr>
        </c:marker>
      </c:pivotFmt>
      <c:pivotFmt>
        <c:idx val="82"/>
        <c:spPr>
          <a:solidFill>
            <a:schemeClr val="accent1"/>
          </a:solidFill>
          <a:ln w="28575" cap="rnd">
            <a:solidFill>
              <a:srgbClr val="156082"/>
            </a:solidFill>
            <a:prstDash val="solid"/>
            <a:round/>
          </a:ln>
          <a:effectLst/>
        </c:spPr>
        <c:marker>
          <c:symbol val="circle"/>
          <c:size val="5"/>
          <c:spPr>
            <a:solidFill>
              <a:srgbClr val="83CCEB"/>
            </a:solidFill>
            <a:ln w="9525">
              <a:solidFill>
                <a:srgbClr val="156082"/>
              </a:solidFill>
              <a:prstDash val="solid"/>
            </a:ln>
            <a:effectLst/>
          </c:spPr>
        </c:marker>
      </c:pivotFmt>
      <c:pivotFmt>
        <c:idx val="83"/>
        <c:spPr>
          <a:solidFill>
            <a:schemeClr val="accent1"/>
          </a:solidFill>
          <a:ln w="28575" cap="rnd">
            <a:solidFill>
              <a:srgbClr val="156082"/>
            </a:solidFill>
            <a:prstDash val="solid"/>
            <a:round/>
          </a:ln>
          <a:effectLst/>
        </c:spPr>
        <c:marker>
          <c:symbol val="circle"/>
          <c:size val="5"/>
          <c:spPr>
            <a:solidFill>
              <a:srgbClr val="83CCEB"/>
            </a:solidFill>
            <a:ln w="9525">
              <a:solidFill>
                <a:srgbClr val="156082"/>
              </a:solidFill>
              <a:prstDash val="solid"/>
            </a:ln>
            <a:effectLst/>
          </c:spPr>
        </c:marker>
      </c:pivotFmt>
      <c:pivotFmt>
        <c:idx val="84"/>
        <c:spPr>
          <a:solidFill>
            <a:schemeClr val="accent1"/>
          </a:solidFill>
          <a:ln w="28575" cap="rnd">
            <a:solidFill>
              <a:srgbClr val="E97132"/>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w="28575" cap="rnd">
            <a:solidFill>
              <a:srgbClr val="4EA72E"/>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w="28575" cap="rnd">
            <a:solidFill>
              <a:srgbClr val="A02B93"/>
            </a:solidFill>
            <a:prstDash val="solid"/>
            <a:round/>
          </a:ln>
          <a:effectLst/>
        </c:spPr>
        <c:marker>
          <c:symbol val="circle"/>
          <c:size val="5"/>
          <c:spPr>
            <a:solidFill>
              <a:srgbClr val="F2CEEF"/>
            </a:solidFill>
            <a:ln w="9525">
              <a:solidFill>
                <a:srgbClr val="A02B93"/>
              </a:solidFill>
              <a:prstDash val="soli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7"/>
        <c:spPr>
          <a:solidFill>
            <a:schemeClr val="accent1"/>
          </a:solidFill>
          <a:ln w="28575" cap="rnd">
            <a:solidFill>
              <a:srgbClr val="156082"/>
            </a:solidFill>
            <a:prstDash val="solid"/>
            <a:round/>
          </a:ln>
          <a:effectLst/>
        </c:spPr>
        <c:marker>
          <c:symbol val="circle"/>
          <c:size val="5"/>
          <c:spPr>
            <a:solidFill>
              <a:srgbClr val="83CCEB"/>
            </a:solidFill>
            <a:ln w="9525">
              <a:solidFill>
                <a:srgbClr val="156082"/>
              </a:solidFill>
              <a:prstDash val="soli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w="28575" cap="rnd">
            <a:solidFill>
              <a:srgbClr val="156082"/>
            </a:solidFill>
            <a:prstDash val="solid"/>
            <a:round/>
          </a:ln>
          <a:effectLst/>
        </c:spPr>
        <c:marker>
          <c:symbol val="circle"/>
          <c:size val="5"/>
          <c:spPr>
            <a:solidFill>
              <a:srgbClr val="83CCEB"/>
            </a:solidFill>
            <a:ln w="9525">
              <a:solidFill>
                <a:srgbClr val="156082"/>
              </a:solidFill>
              <a:prstDash val="solid"/>
            </a:ln>
            <a:effectLst/>
          </c:spPr>
        </c:marker>
      </c:pivotFmt>
      <c:pivotFmt>
        <c:idx val="89"/>
        <c:spPr>
          <a:solidFill>
            <a:schemeClr val="accent1"/>
          </a:solidFill>
          <a:ln w="28575" cap="rnd">
            <a:solidFill>
              <a:srgbClr val="156082"/>
            </a:solidFill>
            <a:prstDash val="solid"/>
            <a:round/>
          </a:ln>
          <a:effectLst/>
        </c:spPr>
        <c:marker>
          <c:symbol val="circle"/>
          <c:size val="5"/>
          <c:spPr>
            <a:solidFill>
              <a:srgbClr val="83CCEB"/>
            </a:solidFill>
            <a:ln w="9525">
              <a:solidFill>
                <a:srgbClr val="156082"/>
              </a:solidFill>
              <a:prstDash val="solid"/>
            </a:ln>
            <a:effectLst/>
          </c:spPr>
        </c:marker>
      </c:pivotFmt>
      <c:pivotFmt>
        <c:idx val="90"/>
        <c:spPr>
          <a:solidFill>
            <a:schemeClr val="accent1"/>
          </a:solidFill>
          <a:ln w="28575" cap="rnd">
            <a:solidFill>
              <a:srgbClr val="E97132"/>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w="28575" cap="rnd">
            <a:solidFill>
              <a:srgbClr val="4EA72E"/>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w="28575" cap="rnd">
            <a:solidFill>
              <a:srgbClr val="A02B93"/>
            </a:solidFill>
            <a:prstDash val="solid"/>
            <a:round/>
          </a:ln>
          <a:effectLst/>
        </c:spPr>
        <c:marker>
          <c:symbol val="circle"/>
          <c:size val="5"/>
          <c:spPr>
            <a:solidFill>
              <a:srgbClr val="F2CEEF"/>
            </a:solidFill>
            <a:ln w="9525">
              <a:solidFill>
                <a:srgbClr val="A02B93"/>
              </a:solidFill>
              <a:prstDash val="soli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3"/>
        <c:spPr>
          <a:solidFill>
            <a:schemeClr val="accent1"/>
          </a:solidFill>
          <a:ln w="28575" cap="rnd">
            <a:solidFill>
              <a:srgbClr val="156082"/>
            </a:solidFill>
            <a:prstDash val="solid"/>
            <a:round/>
          </a:ln>
          <a:effectLst/>
        </c:spPr>
        <c:marker>
          <c:symbol val="circle"/>
          <c:size val="5"/>
          <c:spPr>
            <a:solidFill>
              <a:srgbClr val="83CCEB"/>
            </a:solidFill>
            <a:ln w="9525">
              <a:solidFill>
                <a:srgbClr val="156082"/>
              </a:solidFill>
              <a:prstDash val="soli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w="28575" cap="rnd">
            <a:solidFill>
              <a:srgbClr val="156082"/>
            </a:solidFill>
            <a:prstDash val="solid"/>
            <a:round/>
          </a:ln>
          <a:effectLst/>
        </c:spPr>
        <c:marker>
          <c:symbol val="circle"/>
          <c:size val="5"/>
          <c:spPr>
            <a:solidFill>
              <a:srgbClr val="83CCEB"/>
            </a:solidFill>
            <a:ln w="9525">
              <a:solidFill>
                <a:srgbClr val="156082"/>
              </a:solidFill>
              <a:prstDash val="solid"/>
            </a:ln>
            <a:effectLst/>
          </c:spPr>
        </c:marker>
      </c:pivotFmt>
      <c:pivotFmt>
        <c:idx val="95"/>
        <c:spPr>
          <a:solidFill>
            <a:schemeClr val="accent1"/>
          </a:solidFill>
          <a:ln w="28575" cap="rnd">
            <a:solidFill>
              <a:srgbClr val="156082"/>
            </a:solidFill>
            <a:prstDash val="solid"/>
            <a:round/>
          </a:ln>
          <a:effectLst/>
        </c:spPr>
        <c:marker>
          <c:symbol val="circle"/>
          <c:size val="5"/>
          <c:spPr>
            <a:solidFill>
              <a:srgbClr val="83CCEB"/>
            </a:solidFill>
            <a:ln w="9525">
              <a:solidFill>
                <a:srgbClr val="156082"/>
              </a:solidFill>
              <a:prstDash val="solid"/>
            </a:ln>
            <a:effectLst/>
          </c:spPr>
        </c:marker>
      </c:pivotFmt>
      <c:pivotFmt>
        <c:idx val="96"/>
        <c:spPr>
          <a:ln w="28575" cap="rnd">
            <a:solidFill>
              <a:srgbClr val="E97132"/>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ln w="28575" cap="rnd">
            <a:solidFill>
              <a:srgbClr val="4EA72E"/>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ln w="28575" cap="rnd">
            <a:solidFill>
              <a:srgbClr val="A02B93"/>
            </a:solidFill>
            <a:prstDash val="solid"/>
            <a:round/>
          </a:ln>
          <a:effectLst/>
        </c:spPr>
        <c:marker>
          <c:symbol val="circle"/>
          <c:size val="5"/>
          <c:spPr>
            <a:solidFill>
              <a:srgbClr val="F2CEEF"/>
            </a:solidFill>
            <a:ln w="9525">
              <a:solidFill>
                <a:srgbClr val="A02B93"/>
              </a:solidFill>
              <a:prstDash val="soli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9"/>
        <c:spPr>
          <a:ln w="28575" cap="rnd">
            <a:solidFill>
              <a:srgbClr val="156082"/>
            </a:solidFill>
            <a:prstDash val="solid"/>
            <a:round/>
          </a:ln>
          <a:effectLst/>
        </c:spPr>
        <c:marker>
          <c:symbol val="circle"/>
          <c:size val="5"/>
          <c:spPr>
            <a:solidFill>
              <a:srgbClr val="83CCEB"/>
            </a:solidFill>
            <a:ln w="9525">
              <a:solidFill>
                <a:srgbClr val="156082"/>
              </a:solidFill>
              <a:prstDash val="soli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ln w="28575" cap="rnd">
            <a:solidFill>
              <a:srgbClr val="156082"/>
            </a:solidFill>
            <a:prstDash val="solid"/>
            <a:round/>
          </a:ln>
          <a:effectLst/>
        </c:spPr>
        <c:marker>
          <c:symbol val="circle"/>
          <c:size val="5"/>
          <c:spPr>
            <a:solidFill>
              <a:srgbClr val="83CCEB"/>
            </a:solidFill>
            <a:ln w="9525">
              <a:solidFill>
                <a:srgbClr val="156082"/>
              </a:solidFill>
              <a:prstDash val="solid"/>
            </a:ln>
            <a:effectLst/>
          </c:spPr>
        </c:marker>
      </c:pivotFmt>
      <c:pivotFmt>
        <c:idx val="101"/>
        <c:spPr>
          <a:ln w="28575" cap="rnd">
            <a:solidFill>
              <a:srgbClr val="156082"/>
            </a:solidFill>
            <a:prstDash val="solid"/>
            <a:round/>
          </a:ln>
          <a:effectLst/>
        </c:spPr>
        <c:marker>
          <c:symbol val="circle"/>
          <c:size val="5"/>
          <c:spPr>
            <a:solidFill>
              <a:srgbClr val="83CCEB"/>
            </a:solidFill>
            <a:ln w="9525">
              <a:solidFill>
                <a:srgbClr val="156082"/>
              </a:solidFill>
              <a:prstDash val="solid"/>
            </a:ln>
            <a:effectLst/>
          </c:spPr>
        </c:marker>
      </c:pivotFmt>
    </c:pivotFmts>
    <c:plotArea>
      <c:layout>
        <c:manualLayout>
          <c:layoutTarget val="inner"/>
          <c:xMode val="edge"/>
          <c:yMode val="edge"/>
          <c:x val="0.13191833779398265"/>
          <c:y val="0.28300992613504306"/>
          <c:w val="0.76189390119338529"/>
          <c:h val="0.63002934568384128"/>
        </c:manualLayout>
      </c:layout>
      <c:lineChart>
        <c:grouping val="standard"/>
        <c:varyColors val="0"/>
        <c:ser>
          <c:idx val="0"/>
          <c:order val="0"/>
          <c:tx>
            <c:strRef>
              <c:f>'Pivots &amp; KPIs'!$L$116</c:f>
              <c:strCache>
                <c:ptCount val="1"/>
                <c:pt idx="0">
                  <c:v>Spend</c:v>
                </c:pt>
              </c:strCache>
            </c:strRef>
          </c:tx>
          <c:spPr>
            <a:ln w="28575" cap="rnd">
              <a:solidFill>
                <a:srgbClr val="E97132"/>
              </a:solidFill>
              <a:prstDash val="solid"/>
              <a:round/>
            </a:ln>
            <a:effectLst/>
          </c:spPr>
          <c:marker>
            <c:symbol val="none"/>
          </c:marker>
          <c:cat>
            <c:strRef>
              <c:f>'Pivots &amp; KPIs'!$K$117:$K$121</c:f>
              <c:strCache>
                <c:ptCount val="4"/>
                <c:pt idx="0">
                  <c:v>Q1</c:v>
                </c:pt>
                <c:pt idx="1">
                  <c:v>Q2</c:v>
                </c:pt>
                <c:pt idx="2">
                  <c:v>Q3</c:v>
                </c:pt>
                <c:pt idx="3">
                  <c:v>Q4</c:v>
                </c:pt>
              </c:strCache>
            </c:strRef>
          </c:cat>
          <c:val>
            <c:numRef>
              <c:f>'Pivots &amp; KPIs'!$L$117:$L$121</c:f>
              <c:numCache>
                <c:formatCode>0</c:formatCode>
                <c:ptCount val="4"/>
                <c:pt idx="0">
                  <c:v>81917.239999999991</c:v>
                </c:pt>
                <c:pt idx="1">
                  <c:v>70186.39</c:v>
                </c:pt>
                <c:pt idx="2">
                  <c:v>48026.85</c:v>
                </c:pt>
                <c:pt idx="3">
                  <c:v>61035.839999999997</c:v>
                </c:pt>
              </c:numCache>
            </c:numRef>
          </c:val>
          <c:smooth val="0"/>
          <c:extLst>
            <c:ext xmlns:c16="http://schemas.microsoft.com/office/drawing/2014/chart" uri="{C3380CC4-5D6E-409C-BE32-E72D297353CC}">
              <c16:uniqueId val="{00000000-6687-445D-98E3-856C9DD7D384}"/>
            </c:ext>
          </c:extLst>
        </c:ser>
        <c:ser>
          <c:idx val="1"/>
          <c:order val="1"/>
          <c:tx>
            <c:strRef>
              <c:f>'Pivots &amp; KPIs'!$M$116</c:f>
              <c:strCache>
                <c:ptCount val="1"/>
                <c:pt idx="0">
                  <c:v>Revenue</c:v>
                </c:pt>
              </c:strCache>
            </c:strRef>
          </c:tx>
          <c:spPr>
            <a:ln w="28575" cap="rnd">
              <a:solidFill>
                <a:srgbClr val="4EA72E"/>
              </a:solidFill>
              <a:prstDash val="solid"/>
              <a:round/>
            </a:ln>
            <a:effectLst/>
          </c:spPr>
          <c:marker>
            <c:symbol val="none"/>
          </c:marker>
          <c:cat>
            <c:strRef>
              <c:f>'Pivots &amp; KPIs'!$K$117:$K$121</c:f>
              <c:strCache>
                <c:ptCount val="4"/>
                <c:pt idx="0">
                  <c:v>Q1</c:v>
                </c:pt>
                <c:pt idx="1">
                  <c:v>Q2</c:v>
                </c:pt>
                <c:pt idx="2">
                  <c:v>Q3</c:v>
                </c:pt>
                <c:pt idx="3">
                  <c:v>Q4</c:v>
                </c:pt>
              </c:strCache>
            </c:strRef>
          </c:cat>
          <c:val>
            <c:numRef>
              <c:f>'Pivots &amp; KPIs'!$M$117:$M$121</c:f>
              <c:numCache>
                <c:formatCode>0</c:formatCode>
                <c:ptCount val="4"/>
                <c:pt idx="0">
                  <c:v>301440.9499999999</c:v>
                </c:pt>
                <c:pt idx="1">
                  <c:v>224121.36000000002</c:v>
                </c:pt>
                <c:pt idx="2">
                  <c:v>267845.69999999995</c:v>
                </c:pt>
                <c:pt idx="3">
                  <c:v>249071.68</c:v>
                </c:pt>
              </c:numCache>
            </c:numRef>
          </c:val>
          <c:smooth val="0"/>
          <c:extLst>
            <c:ext xmlns:c16="http://schemas.microsoft.com/office/drawing/2014/chart" uri="{C3380CC4-5D6E-409C-BE32-E72D297353CC}">
              <c16:uniqueId val="{00000001-6687-445D-98E3-856C9DD7D384}"/>
            </c:ext>
          </c:extLst>
        </c:ser>
        <c:dLbls>
          <c:showLegendKey val="0"/>
          <c:showVal val="0"/>
          <c:showCatName val="0"/>
          <c:showSerName val="0"/>
          <c:showPercent val="0"/>
          <c:showBubbleSize val="0"/>
        </c:dLbls>
        <c:marker val="1"/>
        <c:smooth val="0"/>
        <c:axId val="1849195015"/>
        <c:axId val="1849477127"/>
      </c:lineChart>
      <c:lineChart>
        <c:grouping val="standard"/>
        <c:varyColors val="0"/>
        <c:ser>
          <c:idx val="2"/>
          <c:order val="2"/>
          <c:tx>
            <c:strRef>
              <c:f>'Pivots &amp; KPIs'!$N$116</c:f>
              <c:strCache>
                <c:ptCount val="1"/>
                <c:pt idx="0">
                  <c:v>Conversion Rate % </c:v>
                </c:pt>
              </c:strCache>
            </c:strRef>
          </c:tx>
          <c:spPr>
            <a:ln w="28575" cap="rnd">
              <a:solidFill>
                <a:srgbClr val="A02B93"/>
              </a:solidFill>
              <a:prstDash val="solid"/>
              <a:round/>
            </a:ln>
            <a:effectLst/>
          </c:spPr>
          <c:marker>
            <c:symbol val="circle"/>
            <c:size val="5"/>
            <c:spPr>
              <a:solidFill>
                <a:srgbClr val="F2CEEF"/>
              </a:solidFill>
              <a:ln w="9525">
                <a:solidFill>
                  <a:srgbClr val="A02B93"/>
                </a:solidFill>
                <a:prstDash val="soli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&amp; KPIs'!$K$117:$K$121</c:f>
              <c:strCache>
                <c:ptCount val="4"/>
                <c:pt idx="0">
                  <c:v>Q1</c:v>
                </c:pt>
                <c:pt idx="1">
                  <c:v>Q2</c:v>
                </c:pt>
                <c:pt idx="2">
                  <c:v>Q3</c:v>
                </c:pt>
                <c:pt idx="3">
                  <c:v>Q4</c:v>
                </c:pt>
              </c:strCache>
            </c:strRef>
          </c:cat>
          <c:val>
            <c:numRef>
              <c:f>'Pivots &amp; KPIs'!$N$117:$N$121</c:f>
              <c:numCache>
                <c:formatCode>0%</c:formatCode>
                <c:ptCount val="4"/>
                <c:pt idx="0">
                  <c:v>7.1126531859713071E-2</c:v>
                </c:pt>
                <c:pt idx="1">
                  <c:v>6.4157374838393288E-2</c:v>
                </c:pt>
                <c:pt idx="2">
                  <c:v>6.4325128108211879E-2</c:v>
                </c:pt>
                <c:pt idx="3">
                  <c:v>5.9504843693569738E-2</c:v>
                </c:pt>
              </c:numCache>
            </c:numRef>
          </c:val>
          <c:smooth val="0"/>
          <c:extLst>
            <c:ext xmlns:c16="http://schemas.microsoft.com/office/drawing/2014/chart" uri="{C3380CC4-5D6E-409C-BE32-E72D297353CC}">
              <c16:uniqueId val="{00000002-6687-445D-98E3-856C9DD7D384}"/>
            </c:ext>
          </c:extLst>
        </c:ser>
        <c:ser>
          <c:idx val="3"/>
          <c:order val="3"/>
          <c:tx>
            <c:strRef>
              <c:f>'Pivots &amp; KPIs'!$O$116</c:f>
              <c:strCache>
                <c:ptCount val="1"/>
                <c:pt idx="0">
                  <c:v>ROI %</c:v>
                </c:pt>
              </c:strCache>
            </c:strRef>
          </c:tx>
          <c:spPr>
            <a:ln w="28575" cap="rnd">
              <a:solidFill>
                <a:srgbClr val="156082"/>
              </a:solidFill>
              <a:prstDash val="solid"/>
              <a:round/>
            </a:ln>
            <a:effectLst/>
          </c:spPr>
          <c:marker>
            <c:symbol val="circle"/>
            <c:size val="5"/>
            <c:spPr>
              <a:solidFill>
                <a:srgbClr val="83CCEB"/>
              </a:solidFill>
              <a:ln w="9525">
                <a:solidFill>
                  <a:srgbClr val="156082"/>
                </a:solidFill>
                <a:prstDash val="solid"/>
              </a:ln>
              <a:effectLst/>
            </c:spPr>
          </c:marker>
          <c:dPt>
            <c:idx val="1"/>
            <c:marker>
              <c:symbol val="circle"/>
              <c:size val="5"/>
              <c:spPr>
                <a:solidFill>
                  <a:srgbClr val="83CCEB"/>
                </a:solidFill>
                <a:ln w="9525">
                  <a:solidFill>
                    <a:srgbClr val="156082"/>
                  </a:solidFill>
                  <a:prstDash val="solid"/>
                </a:ln>
                <a:effectLst/>
              </c:spPr>
            </c:marker>
            <c:bubble3D val="0"/>
            <c:spPr>
              <a:ln w="28575" cap="rnd">
                <a:solidFill>
                  <a:srgbClr val="156082"/>
                </a:solidFill>
                <a:prstDash val="solid"/>
                <a:round/>
              </a:ln>
              <a:effectLst/>
            </c:spPr>
            <c:extLst>
              <c:ext xmlns:c16="http://schemas.microsoft.com/office/drawing/2014/chart" uri="{C3380CC4-5D6E-409C-BE32-E72D297353CC}">
                <c16:uniqueId val="{00000001-6F74-49A9-AFFE-1CF40F6C43A2}"/>
              </c:ext>
            </c:extLst>
          </c:dPt>
          <c:dPt>
            <c:idx val="3"/>
            <c:marker>
              <c:symbol val="circle"/>
              <c:size val="5"/>
              <c:spPr>
                <a:solidFill>
                  <a:srgbClr val="83CCEB"/>
                </a:solidFill>
                <a:ln w="9525">
                  <a:solidFill>
                    <a:srgbClr val="156082"/>
                  </a:solidFill>
                  <a:prstDash val="solid"/>
                </a:ln>
                <a:effectLst/>
              </c:spPr>
            </c:marker>
            <c:bubble3D val="0"/>
            <c:spPr>
              <a:ln w="28575" cap="rnd">
                <a:solidFill>
                  <a:srgbClr val="156082"/>
                </a:solidFill>
                <a:prstDash val="solid"/>
                <a:round/>
              </a:ln>
              <a:effectLst/>
            </c:spPr>
            <c:extLst>
              <c:ext xmlns:c16="http://schemas.microsoft.com/office/drawing/2014/chart" uri="{C3380CC4-5D6E-409C-BE32-E72D297353CC}">
                <c16:uniqueId val="{00000002-6F74-49A9-AFFE-1CF40F6C43A2}"/>
              </c:ext>
            </c:extLst>
          </c:dPt>
          <c:cat>
            <c:strRef>
              <c:f>'Pivots &amp; KPIs'!$K$117:$K$121</c:f>
              <c:strCache>
                <c:ptCount val="4"/>
                <c:pt idx="0">
                  <c:v>Q1</c:v>
                </c:pt>
                <c:pt idx="1">
                  <c:v>Q2</c:v>
                </c:pt>
                <c:pt idx="2">
                  <c:v>Q3</c:v>
                </c:pt>
                <c:pt idx="3">
                  <c:v>Q4</c:v>
                </c:pt>
              </c:strCache>
            </c:strRef>
          </c:cat>
          <c:val>
            <c:numRef>
              <c:f>'Pivots &amp; KPIs'!$O$117:$O$121</c:f>
              <c:numCache>
                <c:formatCode>0%</c:formatCode>
                <c:ptCount val="4"/>
                <c:pt idx="0">
                  <c:v>4.5046718750000005</c:v>
                </c:pt>
                <c:pt idx="1">
                  <c:v>2.7790090909090912</c:v>
                </c:pt>
                <c:pt idx="2">
                  <c:v>6.9939318181818182</c:v>
                </c:pt>
                <c:pt idx="3">
                  <c:v>3.6857916666666668</c:v>
                </c:pt>
              </c:numCache>
            </c:numRef>
          </c:val>
          <c:smooth val="0"/>
          <c:extLst>
            <c:ext xmlns:c16="http://schemas.microsoft.com/office/drawing/2014/chart" uri="{C3380CC4-5D6E-409C-BE32-E72D297353CC}">
              <c16:uniqueId val="{00000003-6687-445D-98E3-856C9DD7D384}"/>
            </c:ext>
          </c:extLst>
        </c:ser>
        <c:dLbls>
          <c:showLegendKey val="0"/>
          <c:showVal val="0"/>
          <c:showCatName val="0"/>
          <c:showSerName val="0"/>
          <c:showPercent val="0"/>
          <c:showBubbleSize val="0"/>
        </c:dLbls>
        <c:marker val="1"/>
        <c:smooth val="0"/>
        <c:axId val="2067920768"/>
        <c:axId val="2067920288"/>
      </c:lineChart>
      <c:catAx>
        <c:axId val="1849195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49477127"/>
        <c:crosses val="autoZero"/>
        <c:auto val="1"/>
        <c:lblAlgn val="ctr"/>
        <c:lblOffset val="100"/>
        <c:noMultiLvlLbl val="0"/>
      </c:catAx>
      <c:valAx>
        <c:axId val="184947712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9195015"/>
        <c:crosses val="autoZero"/>
        <c:crossBetween val="between"/>
      </c:valAx>
      <c:valAx>
        <c:axId val="2067920288"/>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7920768"/>
        <c:crosses val="max"/>
        <c:crossBetween val="between"/>
      </c:valAx>
      <c:catAx>
        <c:axId val="2067920768"/>
        <c:scaling>
          <c:orientation val="minMax"/>
        </c:scaling>
        <c:delete val="1"/>
        <c:axPos val="b"/>
        <c:numFmt formatCode="General" sourceLinked="1"/>
        <c:majorTickMark val="out"/>
        <c:minorTickMark val="none"/>
        <c:tickLblPos val="nextTo"/>
        <c:crossAx val="2067920288"/>
        <c:crosses val="autoZero"/>
        <c:auto val="1"/>
        <c:lblAlgn val="ctr"/>
        <c:lblOffset val="100"/>
        <c:noMultiLvlLbl val="0"/>
      </c:catAx>
      <c:spPr>
        <a:noFill/>
        <a:ln>
          <a:noFill/>
        </a:ln>
        <a:effectLst/>
      </c:spPr>
    </c:plotArea>
    <c:legend>
      <c:legendPos val="t"/>
      <c:layout>
        <c:manualLayout>
          <c:xMode val="edge"/>
          <c:yMode val="edge"/>
          <c:x val="9.7245522134001047E-2"/>
          <c:y val="0.10811535881958417"/>
          <c:w val="0.80550895573199799"/>
          <c:h val="7.545324440078793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lumMod val="95000"/>
      </a:schemeClr>
    </a:solidFill>
    <a:ln w="9525" cap="flat" cmpd="sng" algn="ctr">
      <a:solidFill>
        <a:srgbClr val="FFFFFF"/>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[Marketing-performance-Analysis.xlsx]Pivots &amp; KPIs!PivotTable2</c:name>
    <c:fmtId val="4"/>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IN" sz="1600" b="1" i="0" u="none" strike="noStrike" baseline="0"/>
              <a:t>How Do Regions Compare on Spend &amp; Revenue?</a:t>
            </a:r>
            <a:endParaRPr lang="en-IN" sz="1600" b="1"/>
          </a:p>
        </c:rich>
      </c:tx>
      <c:layout>
        <c:manualLayout>
          <c:xMode val="edge"/>
          <c:yMode val="edge"/>
          <c:x val="9.7484276729559755E-2"/>
          <c:y val="0"/>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6"/>
          </a:solidFill>
          <a:ln>
            <a:solidFill>
              <a:srgbClr val="FFFFFF"/>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6"/>
          </a:solidFill>
          <a:ln>
            <a:solidFill>
              <a:srgbClr val="FFFFFF"/>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6"/>
          </a:solidFill>
          <a:ln>
            <a:solidFill>
              <a:srgbClr val="FFFFFF"/>
            </a:solidFill>
            <a:prstDash val="solid"/>
          </a:ln>
          <a:effectLst/>
        </c:spPr>
        <c:marker>
          <c:symbol val="none"/>
        </c:marker>
      </c:pivotFmt>
      <c:pivotFmt>
        <c:idx val="23"/>
        <c:spPr>
          <a:solidFill>
            <a:schemeClr val="accent6"/>
          </a:solidFill>
          <a:ln>
            <a:solidFill>
              <a:srgbClr val="FFFFFF"/>
            </a:solidFill>
            <a:prstDash val="solid"/>
          </a:ln>
          <a:effectLst/>
        </c:spPr>
        <c:marker>
          <c:symbol val="none"/>
        </c:marker>
      </c:pivotFmt>
      <c:pivotFmt>
        <c:idx val="24"/>
        <c:spPr>
          <a:solidFill>
            <a:schemeClr val="accent6"/>
          </a:solidFill>
          <a:ln>
            <a:solidFill>
              <a:srgbClr val="FFFFFF"/>
            </a:solidFill>
            <a:prstDash val="solid"/>
          </a:ln>
          <a:effectLst/>
        </c:spPr>
        <c:marker>
          <c:symbol val="none"/>
        </c:marker>
      </c:pivotFmt>
      <c:pivotFmt>
        <c:idx val="25"/>
        <c:spPr>
          <a:solidFill>
            <a:schemeClr val="accent6"/>
          </a:solidFill>
          <a:ln>
            <a:solidFill>
              <a:srgbClr val="FFFFFF"/>
            </a:solidFill>
            <a:prstDash val="solid"/>
          </a:ln>
          <a:effectLst/>
        </c:spPr>
        <c:marker>
          <c:symbol val="none"/>
        </c:marker>
      </c:pivotFmt>
      <c:pivotFmt>
        <c:idx val="26"/>
        <c:spPr>
          <a:solidFill>
            <a:schemeClr val="accent6"/>
          </a:solidFill>
          <a:ln>
            <a:solidFill>
              <a:srgbClr val="FFFFFF"/>
            </a:solidFill>
            <a:prstDash val="solid"/>
          </a:ln>
          <a:effectLst/>
        </c:spPr>
        <c:marker>
          <c:symbol val="none"/>
        </c:marker>
      </c:pivotFmt>
      <c:pivotFmt>
        <c:idx val="27"/>
        <c:spPr>
          <a:solidFill>
            <a:schemeClr val="accent6"/>
          </a:solidFill>
          <a:ln>
            <a:solidFill>
              <a:srgbClr val="FFFFFF"/>
            </a:solidFill>
            <a:prstDash val="solid"/>
          </a:ln>
          <a:effectLst/>
        </c:spPr>
        <c:marker>
          <c:symbol val="none"/>
        </c:marker>
      </c:pivotFmt>
      <c:pivotFmt>
        <c:idx val="28"/>
        <c:spPr>
          <a:solidFill>
            <a:schemeClr val="accent6"/>
          </a:solidFill>
          <a:ln>
            <a:solidFill>
              <a:srgbClr val="FFFFFF"/>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6"/>
          </a:solidFill>
          <a:ln>
            <a:solidFill>
              <a:srgbClr val="FFFFFF"/>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 &amp; KPIs'!$E$6</c:f>
              <c:strCache>
                <c:ptCount val="1"/>
                <c:pt idx="0">
                  <c:v>Spend</c:v>
                </c:pt>
              </c:strCache>
            </c:strRef>
          </c:tx>
          <c:spPr>
            <a:solidFill>
              <a:schemeClr val="accent6">
                <a:shade val="76000"/>
              </a:schemeClr>
            </a:solidFill>
            <a:ln>
              <a:solidFill>
                <a:srgbClr val="FFFFFF"/>
              </a:solidFill>
              <a:prstDash val="solid"/>
            </a:ln>
            <a:effectLst/>
          </c:spPr>
          <c:invertIfNegative val="0"/>
          <c:cat>
            <c:strRef>
              <c:f>'Pivots &amp; KPIs'!$D$7:$D$11</c:f>
              <c:strCache>
                <c:ptCount val="4"/>
                <c:pt idx="0">
                  <c:v>East</c:v>
                </c:pt>
                <c:pt idx="1">
                  <c:v>North</c:v>
                </c:pt>
                <c:pt idx="2">
                  <c:v>South</c:v>
                </c:pt>
                <c:pt idx="3">
                  <c:v>West</c:v>
                </c:pt>
              </c:strCache>
            </c:strRef>
          </c:cat>
          <c:val>
            <c:numRef>
              <c:f>'Pivots &amp; KPIs'!$E$7:$E$11</c:f>
              <c:numCache>
                <c:formatCode>0</c:formatCode>
                <c:ptCount val="4"/>
                <c:pt idx="0">
                  <c:v>69841.670000000013</c:v>
                </c:pt>
                <c:pt idx="1">
                  <c:v>67187.740000000005</c:v>
                </c:pt>
                <c:pt idx="2">
                  <c:v>47727.48</c:v>
                </c:pt>
                <c:pt idx="3">
                  <c:v>76409.430000000008</c:v>
                </c:pt>
              </c:numCache>
            </c:numRef>
          </c:val>
          <c:extLst>
            <c:ext xmlns:c16="http://schemas.microsoft.com/office/drawing/2014/chart" uri="{C3380CC4-5D6E-409C-BE32-E72D297353CC}">
              <c16:uniqueId val="{00000000-3B25-4DBB-92BF-21F260C5892C}"/>
            </c:ext>
          </c:extLst>
        </c:ser>
        <c:ser>
          <c:idx val="1"/>
          <c:order val="1"/>
          <c:tx>
            <c:strRef>
              <c:f>'Pivots &amp; KPIs'!$F$6</c:f>
              <c:strCache>
                <c:ptCount val="1"/>
                <c:pt idx="0">
                  <c:v>Revenue</c:v>
                </c:pt>
              </c:strCache>
            </c:strRef>
          </c:tx>
          <c:spPr>
            <a:solidFill>
              <a:schemeClr val="accent6">
                <a:tint val="77000"/>
              </a:schemeClr>
            </a:solidFill>
            <a:ln>
              <a:solidFill>
                <a:srgbClr val="FFFFFF"/>
              </a:solidFill>
              <a:prstDash val="solid"/>
            </a:ln>
            <a:effectLst/>
          </c:spPr>
          <c:invertIfNegative val="0"/>
          <c:cat>
            <c:strRef>
              <c:f>'Pivots &amp; KPIs'!$D$7:$D$11</c:f>
              <c:strCache>
                <c:ptCount val="4"/>
                <c:pt idx="0">
                  <c:v>East</c:v>
                </c:pt>
                <c:pt idx="1">
                  <c:v>North</c:v>
                </c:pt>
                <c:pt idx="2">
                  <c:v>South</c:v>
                </c:pt>
                <c:pt idx="3">
                  <c:v>West</c:v>
                </c:pt>
              </c:strCache>
            </c:strRef>
          </c:cat>
          <c:val>
            <c:numRef>
              <c:f>'Pivots &amp; KPIs'!$F$7:$F$11</c:f>
              <c:numCache>
                <c:formatCode>0</c:formatCode>
                <c:ptCount val="4"/>
                <c:pt idx="0">
                  <c:v>308543.80999999994</c:v>
                </c:pt>
                <c:pt idx="1">
                  <c:v>266923.58</c:v>
                </c:pt>
                <c:pt idx="2">
                  <c:v>160892.81000000003</c:v>
                </c:pt>
                <c:pt idx="3">
                  <c:v>306119.49</c:v>
                </c:pt>
              </c:numCache>
            </c:numRef>
          </c:val>
          <c:extLst>
            <c:ext xmlns:c16="http://schemas.microsoft.com/office/drawing/2014/chart" uri="{C3380CC4-5D6E-409C-BE32-E72D297353CC}">
              <c16:uniqueId val="{00000001-3B25-4DBB-92BF-21F260C5892C}"/>
            </c:ext>
          </c:extLst>
        </c:ser>
        <c:dLbls>
          <c:showLegendKey val="0"/>
          <c:showVal val="0"/>
          <c:showCatName val="0"/>
          <c:showSerName val="0"/>
          <c:showPercent val="0"/>
          <c:showBubbleSize val="0"/>
        </c:dLbls>
        <c:gapWidth val="75"/>
        <c:axId val="1621251592"/>
        <c:axId val="1621253640"/>
      </c:barChart>
      <c:catAx>
        <c:axId val="1621251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21253640"/>
        <c:crosses val="autoZero"/>
        <c:auto val="1"/>
        <c:lblAlgn val="ctr"/>
        <c:lblOffset val="100"/>
        <c:noMultiLvlLbl val="0"/>
      </c:catAx>
      <c:valAx>
        <c:axId val="162125364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1251592"/>
        <c:crosses val="autoZero"/>
        <c:crossBetween val="between"/>
      </c:valAx>
      <c:spPr>
        <a:noFill/>
        <a:ln>
          <a:noFill/>
        </a:ln>
        <a:effectLst/>
      </c:spPr>
    </c:plotArea>
    <c:legend>
      <c:legendPos val="t"/>
      <c:layout>
        <c:manualLayout>
          <c:xMode val="edge"/>
          <c:yMode val="edge"/>
          <c:x val="0.34351582231466349"/>
          <c:y val="0.15803056866910145"/>
          <c:w val="0.2777479819739514"/>
          <c:h val="6.37398228904106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lumMod val="95000"/>
      </a:schemeClr>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IN" sz="1600" b="1"/>
              <a:t> Which</a:t>
            </a:r>
            <a:r>
              <a:rPr lang="en-IN" sz="1600" b="1" baseline="0"/>
              <a:t> Region Has Most Conversions ?</a:t>
            </a:r>
            <a:r>
              <a:rPr lang="en-IN" sz="1600" b="1"/>
              <a:t> </a:t>
            </a:r>
          </a:p>
        </c:rich>
      </c:tx>
      <c:layout>
        <c:manualLayout>
          <c:xMode val="edge"/>
          <c:yMode val="edge"/>
          <c:x val="0.13146038533238336"/>
          <c:y val="6.4358362346957857E-3"/>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424896056199998"/>
          <c:y val="0.24653215498104647"/>
          <c:w val="0.85969891471514304"/>
          <c:h val="0.74163064067955464"/>
        </c:manualLayout>
      </c:layout>
      <c:barChart>
        <c:barDir val="bar"/>
        <c:grouping val="clustered"/>
        <c:varyColors val="0"/>
        <c:ser>
          <c:idx val="0"/>
          <c:order val="0"/>
          <c:tx>
            <c:strRef>
              <c:f>'Pivots &amp; KPIs'!$N$30</c:f>
              <c:strCache>
                <c:ptCount val="1"/>
                <c:pt idx="0">
                  <c:v>Conversion Rate %</c:v>
                </c:pt>
              </c:strCache>
            </c:strRef>
          </c:tx>
          <c:spPr>
            <a:solidFill>
              <a:srgbClr val="4D93D9"/>
            </a:solidFill>
            <a:ln>
              <a:solidFill>
                <a:srgbClr val="DAE9F8"/>
              </a:solidFill>
              <a:prstDash val="solid"/>
            </a:ln>
            <a:effectLst/>
          </c:spPr>
          <c:invertIfNegative val="0"/>
          <c:dPt>
            <c:idx val="0"/>
            <c:invertIfNegative val="0"/>
            <c:bubble3D val="0"/>
            <c:spPr>
              <a:solidFill>
                <a:srgbClr val="A6C9EC"/>
              </a:solidFill>
              <a:ln>
                <a:solidFill>
                  <a:srgbClr val="DAE9F8"/>
                </a:solidFill>
                <a:prstDash val="solid"/>
              </a:ln>
              <a:effectLst/>
            </c:spPr>
            <c:extLst>
              <c:ext xmlns:c16="http://schemas.microsoft.com/office/drawing/2014/chart" uri="{C3380CC4-5D6E-409C-BE32-E72D297353CC}">
                <c16:uniqueId val="{00000000-F2AC-4137-999B-E3D9C5B64724}"/>
              </c:ext>
            </c:extLst>
          </c:dPt>
          <c:dPt>
            <c:idx val="1"/>
            <c:invertIfNegative val="0"/>
            <c:bubble3D val="0"/>
            <c:spPr>
              <a:solidFill>
                <a:srgbClr val="0070C0"/>
              </a:solidFill>
              <a:ln>
                <a:solidFill>
                  <a:srgbClr val="DAE9F8"/>
                </a:solidFill>
                <a:prstDash val="solid"/>
              </a:ln>
              <a:effectLst/>
            </c:spPr>
            <c:extLst>
              <c:ext xmlns:c16="http://schemas.microsoft.com/office/drawing/2014/chart" uri="{C3380CC4-5D6E-409C-BE32-E72D297353CC}">
                <c16:uniqueId val="{00000000-FE99-42A1-BF71-929B8D389BE8}"/>
              </c:ext>
            </c:extLst>
          </c:dPt>
          <c:dPt>
            <c:idx val="2"/>
            <c:invertIfNegative val="0"/>
            <c:bubble3D val="0"/>
            <c:spPr>
              <a:solidFill>
                <a:srgbClr val="F2F2F2"/>
              </a:solidFill>
              <a:ln>
                <a:solidFill>
                  <a:srgbClr val="DAE9F8"/>
                </a:solidFill>
                <a:prstDash val="solid"/>
              </a:ln>
              <a:effectLst/>
            </c:spPr>
            <c:extLst>
              <c:ext xmlns:c16="http://schemas.microsoft.com/office/drawing/2014/chart" uri="{C3380CC4-5D6E-409C-BE32-E72D297353CC}">
                <c16:uniqueId val="{00000001-F2AC-4137-999B-E3D9C5B6472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&amp; KPIs'!$M$31:$M$34</c:f>
              <c:strCache>
                <c:ptCount val="4"/>
                <c:pt idx="0">
                  <c:v>East</c:v>
                </c:pt>
                <c:pt idx="1">
                  <c:v>North</c:v>
                </c:pt>
                <c:pt idx="2">
                  <c:v>South</c:v>
                </c:pt>
                <c:pt idx="3">
                  <c:v>West</c:v>
                </c:pt>
              </c:strCache>
            </c:strRef>
          </c:cat>
          <c:val>
            <c:numRef>
              <c:f>'Pivots &amp; KPIs'!$N$31:$N$34</c:f>
              <c:numCache>
                <c:formatCode>0%</c:formatCode>
                <c:ptCount val="4"/>
                <c:pt idx="0">
                  <c:v>4.4086449217714131E-2</c:v>
                </c:pt>
                <c:pt idx="1">
                  <c:v>6.5265002190100743E-2</c:v>
                </c:pt>
                <c:pt idx="2">
                  <c:v>2.7831575927121439E-2</c:v>
                </c:pt>
                <c:pt idx="3">
                  <c:v>4.7189853859524886E-2</c:v>
                </c:pt>
              </c:numCache>
            </c:numRef>
          </c:val>
          <c:extLst>
            <c:ext xmlns:c16="http://schemas.microsoft.com/office/drawing/2014/chart" uri="{C3380CC4-5D6E-409C-BE32-E72D297353CC}">
              <c16:uniqueId val="{00000013-37F0-40BF-8503-0302EB4B98AC}"/>
            </c:ext>
          </c:extLst>
        </c:ser>
        <c:dLbls>
          <c:showLegendKey val="0"/>
          <c:showVal val="0"/>
          <c:showCatName val="0"/>
          <c:showSerName val="0"/>
          <c:showPercent val="0"/>
          <c:showBubbleSize val="0"/>
        </c:dLbls>
        <c:gapWidth val="47"/>
        <c:axId val="86650887"/>
        <c:axId val="86653447"/>
      </c:barChart>
      <c:catAx>
        <c:axId val="866508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6653447"/>
        <c:crosses val="autoZero"/>
        <c:auto val="1"/>
        <c:lblAlgn val="ctr"/>
        <c:lblOffset val="100"/>
        <c:noMultiLvlLbl val="0"/>
      </c:catAx>
      <c:valAx>
        <c:axId val="86653447"/>
        <c:scaling>
          <c:orientation val="minMax"/>
        </c:scaling>
        <c:delete val="1"/>
        <c:axPos val="b"/>
        <c:numFmt formatCode="0%" sourceLinked="1"/>
        <c:majorTickMark val="none"/>
        <c:minorTickMark val="none"/>
        <c:tickLblPos val="nextTo"/>
        <c:crossAx val="8665088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r>
              <a:rPr lang="en-US" sz="1600"/>
              <a:t>Which</a:t>
            </a:r>
            <a:r>
              <a:rPr lang="en-US" sz="1600" baseline="0"/>
              <a:t> Regions Generated Highest ROI ?</a:t>
            </a:r>
            <a:r>
              <a:rPr lang="en-US" sz="1600"/>
              <a:t> </a:t>
            </a:r>
          </a:p>
        </c:rich>
      </c:tx>
      <c:layout>
        <c:manualLayout>
          <c:xMode val="edge"/>
          <c:yMode val="edge"/>
          <c:x val="0.10390903331440937"/>
          <c:y val="7.4780332772480841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'Pivots &amp; KPIs'!$E$38</c:f>
              <c:strCache>
                <c:ptCount val="1"/>
                <c:pt idx="0">
                  <c:v>Overall ROI</c:v>
                </c:pt>
              </c:strCache>
            </c:strRef>
          </c:tx>
          <c:spPr>
            <a:solidFill>
              <a:schemeClr val="accent1">
                <a:alpha val="85000"/>
              </a:schemeClr>
            </a:solidFill>
            <a:ln w="9525" cap="flat" cmpd="sng" algn="ctr">
              <a:solidFill>
                <a:schemeClr val="lt1">
                  <a:alpha val="50000"/>
                </a:schemeClr>
              </a:solidFill>
              <a:round/>
            </a:ln>
            <a:effectLst/>
          </c:spPr>
          <c:invertIfNegative val="0"/>
          <c:dPt>
            <c:idx val="1"/>
            <c:invertIfNegative val="0"/>
            <c:bubble3D val="0"/>
            <c:spPr>
              <a:solidFill>
                <a:schemeClr val="accent1">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2-8266-4558-A38F-0AA67654A8E5}"/>
              </c:ext>
            </c:extLst>
          </c:dPt>
          <c:dPt>
            <c:idx val="2"/>
            <c:invertIfNegative val="0"/>
            <c:bubble3D val="0"/>
            <c:spPr>
              <a:solidFill>
                <a:schemeClr val="accent1">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3-8266-4558-A38F-0AA67654A8E5}"/>
              </c:ext>
            </c:extLst>
          </c:dPt>
          <c:dPt>
            <c:idx val="3"/>
            <c:invertIfNegative val="0"/>
            <c:bubble3D val="0"/>
            <c:spPr>
              <a:solidFill>
                <a:schemeClr val="accent1">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1-8266-4558-A38F-0AA67654A8E5}"/>
              </c:ext>
            </c:extLst>
          </c:dPt>
          <c:dLbls>
            <c:spPr>
              <a:solidFill>
                <a:srgbClr val="FFFF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'Pivots &amp; KPIs'!$D$39:$D$42</c:f>
              <c:strCache>
                <c:ptCount val="4"/>
                <c:pt idx="0">
                  <c:v>East</c:v>
                </c:pt>
                <c:pt idx="1">
                  <c:v>North</c:v>
                </c:pt>
                <c:pt idx="2">
                  <c:v>South</c:v>
                </c:pt>
                <c:pt idx="3">
                  <c:v>West</c:v>
                </c:pt>
              </c:strCache>
            </c:strRef>
          </c:cat>
          <c:val>
            <c:numRef>
              <c:f>'Pivots &amp; KPIs'!$E$39:$E$42</c:f>
              <c:numCache>
                <c:formatCode>0%</c:formatCode>
                <c:ptCount val="4"/>
                <c:pt idx="0">
                  <c:v>3.4177610586917515</c:v>
                </c:pt>
                <c:pt idx="1">
                  <c:v>2.9728018832007148</c:v>
                </c:pt>
                <c:pt idx="2">
                  <c:v>2.3710728075314265</c:v>
                </c:pt>
                <c:pt idx="3">
                  <c:v>3.0063051118166952</c:v>
                </c:pt>
              </c:numCache>
            </c:numRef>
          </c:val>
          <c:extLst>
            <c:ext xmlns:c16="http://schemas.microsoft.com/office/drawing/2014/chart" uri="{C3380CC4-5D6E-409C-BE32-E72D297353CC}">
              <c16:uniqueId val="{00000000-3066-497B-BA88-C81AF1BD5EF1}"/>
            </c:ext>
          </c:extLst>
        </c:ser>
        <c:dLbls>
          <c:dLblPos val="inEnd"/>
          <c:showLegendKey val="0"/>
          <c:showVal val="1"/>
          <c:showCatName val="0"/>
          <c:showSerName val="0"/>
          <c:showPercent val="0"/>
          <c:showBubbleSize val="0"/>
        </c:dLbls>
        <c:gapWidth val="124"/>
        <c:axId val="1903032328"/>
        <c:axId val="1256390664"/>
      </c:barChart>
      <c:catAx>
        <c:axId val="190303232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dk1">
                    <a:lumMod val="75000"/>
                    <a:lumOff val="25000"/>
                  </a:schemeClr>
                </a:solidFill>
                <a:latin typeface="+mn-lt"/>
                <a:ea typeface="+mn-ea"/>
                <a:cs typeface="+mn-cs"/>
              </a:defRPr>
            </a:pPr>
            <a:endParaRPr lang="en-US"/>
          </a:p>
        </c:txPr>
        <c:crossAx val="1256390664"/>
        <c:crosses val="autoZero"/>
        <c:auto val="1"/>
        <c:lblAlgn val="ctr"/>
        <c:lblOffset val="100"/>
        <c:noMultiLvlLbl val="0"/>
      </c:catAx>
      <c:valAx>
        <c:axId val="1256390664"/>
        <c:scaling>
          <c:orientation val="minMax"/>
        </c:scaling>
        <c:delete val="1"/>
        <c:axPos val="l"/>
        <c:numFmt formatCode="0%" sourceLinked="1"/>
        <c:majorTickMark val="none"/>
        <c:minorTickMark val="none"/>
        <c:tickLblPos val="nextTo"/>
        <c:crossAx val="1903032328"/>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1600" b="1" i="0" u="none" strike="noStrike" kern="1200" cap="none" spc="50" normalizeH="0" baseline="0">
                <a:solidFill>
                  <a:schemeClr val="tx1">
                    <a:lumMod val="65000"/>
                    <a:lumOff val="35000"/>
                  </a:schemeClr>
                </a:solidFill>
                <a:latin typeface="+mj-lt"/>
                <a:ea typeface="+mj-ea"/>
                <a:cs typeface="+mj-cs"/>
              </a:defRPr>
            </a:pPr>
            <a:r>
              <a:rPr lang="en-US" sz="1600"/>
              <a:t>Which Region</a:t>
            </a:r>
            <a:r>
              <a:rPr lang="en-US" sz="1600" baseline="0"/>
              <a:t> Achieved Highest Efficiency </a:t>
            </a:r>
            <a:r>
              <a:rPr lang="en-US" sz="1600"/>
              <a:t>?</a:t>
            </a:r>
          </a:p>
        </c:rich>
      </c:tx>
      <c:layout>
        <c:manualLayout>
          <c:xMode val="edge"/>
          <c:yMode val="edge"/>
          <c:x val="0.12457185809520291"/>
          <c:y val="7.5564301794279719E-3"/>
        </c:manualLayout>
      </c:layout>
      <c:overlay val="0"/>
      <c:spPr>
        <a:noFill/>
        <a:ln>
          <a:noFill/>
        </a:ln>
        <a:effectLst/>
      </c:spPr>
      <c:txPr>
        <a:bodyPr rot="0" spcFirstLastPara="1" vertOverflow="ellipsis" vert="horz" wrap="square" anchor="ctr" anchorCtr="1"/>
        <a:lstStyle/>
        <a:p>
          <a:pPr>
            <a:defRPr sz="1600" b="1"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lotArea>
      <c:layout>
        <c:manualLayout>
          <c:layoutTarget val="inner"/>
          <c:xMode val="edge"/>
          <c:yMode val="edge"/>
          <c:x val="6.2922762309265377E-3"/>
          <c:y val="0.27559456512286007"/>
          <c:w val="0.8218141285943692"/>
          <c:h val="0.68975084571522871"/>
        </c:manualLayout>
      </c:layout>
      <c:barChart>
        <c:barDir val="bar"/>
        <c:grouping val="clustered"/>
        <c:varyColors val="0"/>
        <c:ser>
          <c:idx val="0"/>
          <c:order val="0"/>
          <c:tx>
            <c:strRef>
              <c:f>'Pivots &amp; KPIs'!$E$55</c:f>
              <c:strCache>
                <c:ptCount val="1"/>
                <c:pt idx="0">
                  <c:v>Revenue/$ Spent</c:v>
                </c:pt>
              </c:strCache>
            </c:strRef>
          </c:tx>
          <c:spPr>
            <a:solidFill>
              <a:srgbClr val="469C99"/>
            </a:solidFill>
            <a:ln>
              <a:solidFill>
                <a:schemeClr val="bg1"/>
              </a:solidFill>
            </a:ln>
            <a:effectLst/>
          </c:spPr>
          <c:invertIfNegative val="0"/>
          <c:dPt>
            <c:idx val="0"/>
            <c:invertIfNegative val="0"/>
            <c:bubble3D val="0"/>
            <c:spPr>
              <a:solidFill>
                <a:srgbClr val="469C99"/>
              </a:solidFill>
              <a:ln>
                <a:solidFill>
                  <a:schemeClr val="bg1"/>
                </a:solidFill>
              </a:ln>
              <a:effectLst/>
            </c:spPr>
            <c:extLst>
              <c:ext xmlns:c16="http://schemas.microsoft.com/office/drawing/2014/chart" uri="{C3380CC4-5D6E-409C-BE32-E72D297353CC}">
                <c16:uniqueId val="{00000001-577A-48D6-B5A2-00384FB2E7CE}"/>
              </c:ext>
            </c:extLst>
          </c:dPt>
          <c:dPt>
            <c:idx val="1"/>
            <c:invertIfNegative val="0"/>
            <c:bubble3D val="0"/>
            <c:spPr>
              <a:solidFill>
                <a:srgbClr val="469C99"/>
              </a:solidFill>
              <a:ln>
                <a:solidFill>
                  <a:schemeClr val="bg1"/>
                </a:solidFill>
              </a:ln>
              <a:effectLst/>
            </c:spPr>
            <c:extLst>
              <c:ext xmlns:c16="http://schemas.microsoft.com/office/drawing/2014/chart" uri="{C3380CC4-5D6E-409C-BE32-E72D297353CC}">
                <c16:uniqueId val="{00000000-9BEE-4081-A0E5-F10BED962A6C}"/>
              </c:ext>
            </c:extLst>
          </c:dPt>
          <c:dPt>
            <c:idx val="2"/>
            <c:invertIfNegative val="0"/>
            <c:bubble3D val="0"/>
            <c:spPr>
              <a:solidFill>
                <a:srgbClr val="469C99"/>
              </a:solidFill>
              <a:ln>
                <a:solidFill>
                  <a:schemeClr val="bg1"/>
                </a:solidFill>
              </a:ln>
              <a:effectLst/>
            </c:spPr>
            <c:extLst>
              <c:ext xmlns:c16="http://schemas.microsoft.com/office/drawing/2014/chart" uri="{C3380CC4-5D6E-409C-BE32-E72D297353CC}">
                <c16:uniqueId val="{00000003-577A-48D6-B5A2-00384FB2E7CE}"/>
              </c:ext>
            </c:extLst>
          </c:dPt>
          <c:dPt>
            <c:idx val="3"/>
            <c:invertIfNegative val="0"/>
            <c:bubble3D val="0"/>
            <c:spPr>
              <a:solidFill>
                <a:srgbClr val="469C99"/>
              </a:solidFill>
              <a:ln>
                <a:solidFill>
                  <a:schemeClr val="bg1"/>
                </a:solidFill>
              </a:ln>
              <a:effectLst/>
            </c:spPr>
            <c:extLst>
              <c:ext xmlns:c16="http://schemas.microsoft.com/office/drawing/2014/chart" uri="{C3380CC4-5D6E-409C-BE32-E72D297353CC}">
                <c16:uniqueId val="{00000002-577A-48D6-B5A2-00384FB2E7CE}"/>
              </c:ext>
            </c:extLst>
          </c:dPt>
          <c:dLbls>
            <c:spPr>
              <a:solidFill>
                <a:srgbClr val="FFFF00"/>
              </a:solid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'Pivots &amp; KPIs'!$D$56:$D$59</c:f>
              <c:strCache>
                <c:ptCount val="4"/>
                <c:pt idx="0">
                  <c:v>East</c:v>
                </c:pt>
                <c:pt idx="1">
                  <c:v>North</c:v>
                </c:pt>
                <c:pt idx="2">
                  <c:v>South</c:v>
                </c:pt>
                <c:pt idx="3">
                  <c:v>West</c:v>
                </c:pt>
              </c:strCache>
            </c:strRef>
          </c:cat>
          <c:val>
            <c:numRef>
              <c:f>'Pivots &amp; KPIs'!$E$56:$E$59</c:f>
              <c:numCache>
                <c:formatCode>"$"#,##0.00</c:formatCode>
                <c:ptCount val="4"/>
                <c:pt idx="0">
                  <c:v>4.4177610586917506</c:v>
                </c:pt>
                <c:pt idx="1">
                  <c:v>3.9728018832007148</c:v>
                </c:pt>
                <c:pt idx="2">
                  <c:v>3.3710728075314265</c:v>
                </c:pt>
                <c:pt idx="3">
                  <c:v>4.0063051118166957</c:v>
                </c:pt>
              </c:numCache>
            </c:numRef>
          </c:val>
          <c:extLst>
            <c:ext xmlns:c16="http://schemas.microsoft.com/office/drawing/2014/chart" uri="{C3380CC4-5D6E-409C-BE32-E72D297353CC}">
              <c16:uniqueId val="{00000000-65A4-4CB4-AE59-62D7FA9CCD0C}"/>
            </c:ext>
          </c:extLst>
        </c:ser>
        <c:dLbls>
          <c:dLblPos val="outEnd"/>
          <c:showLegendKey val="0"/>
          <c:showVal val="1"/>
          <c:showCatName val="0"/>
          <c:showSerName val="0"/>
          <c:showPercent val="0"/>
          <c:showBubbleSize val="0"/>
        </c:dLbls>
        <c:gapWidth val="47"/>
        <c:axId val="522461072"/>
        <c:axId val="522457232"/>
      </c:barChart>
      <c:catAx>
        <c:axId val="522461072"/>
        <c:scaling>
          <c:orientation val="minMax"/>
        </c:scaling>
        <c:delete val="0"/>
        <c:axPos val="l"/>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cap="none" spc="20" normalizeH="0" baseline="0">
                <a:solidFill>
                  <a:schemeClr val="tx1">
                    <a:lumMod val="65000"/>
                    <a:lumOff val="35000"/>
                  </a:schemeClr>
                </a:solidFill>
                <a:latin typeface="+mn-lt"/>
                <a:ea typeface="+mn-ea"/>
                <a:cs typeface="+mn-cs"/>
              </a:defRPr>
            </a:pPr>
            <a:endParaRPr lang="en-US"/>
          </a:p>
        </c:txPr>
        <c:crossAx val="522457232"/>
        <c:crosses val="autoZero"/>
        <c:auto val="1"/>
        <c:lblAlgn val="ctr"/>
        <c:lblOffset val="100"/>
        <c:noMultiLvlLbl val="0"/>
      </c:catAx>
      <c:valAx>
        <c:axId val="522457232"/>
        <c:scaling>
          <c:orientation val="minMax"/>
        </c:scaling>
        <c:delete val="1"/>
        <c:axPos val="b"/>
        <c:numFmt formatCode="&quot;$&quot;#,##0.00" sourceLinked="1"/>
        <c:majorTickMark val="none"/>
        <c:minorTickMark val="none"/>
        <c:tickLblPos val="nextTo"/>
        <c:crossAx val="522461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[Marketing-performance-Analysis.xlsx]Pivots &amp; KPIs!PivotTable7</c:name>
    <c:fmtId val="4"/>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IN" sz="1600" b="1" i="0" u="none" strike="noStrike" baseline="0">
                <a:effectLst/>
              </a:rPr>
              <a:t> From Where Money Comes &amp; Spend Across Products ? </a:t>
            </a:r>
            <a:endParaRPr lang="en-IN" sz="1600" b="1"/>
          </a:p>
        </c:rich>
      </c:tx>
      <c:layout>
        <c:manualLayout>
          <c:xMode val="edge"/>
          <c:yMode val="edge"/>
          <c:x val="0.12568807339449542"/>
          <c:y val="0"/>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ymbol val="none"/>
        </c:marker>
      </c:pivotFmt>
      <c:pivotFmt>
        <c:idx val="15"/>
        <c:spPr>
          <a:solidFill>
            <a:schemeClr val="accent6"/>
          </a:solidFill>
          <a:ln>
            <a:noFill/>
          </a:ln>
          <a:effectLst/>
        </c:spPr>
        <c:marker>
          <c:symbol val="none"/>
        </c:marker>
      </c:pivotFmt>
      <c:pivotFmt>
        <c:idx val="1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89949192130798"/>
          <c:y val="0.19474266386616407"/>
          <c:w val="0.82517084447012923"/>
          <c:h val="0.7316955508454257"/>
        </c:manualLayout>
      </c:layout>
      <c:barChart>
        <c:barDir val="col"/>
        <c:grouping val="clustered"/>
        <c:varyColors val="0"/>
        <c:ser>
          <c:idx val="0"/>
          <c:order val="0"/>
          <c:tx>
            <c:strRef>
              <c:f>'Pivots &amp; KPIs'!$H$14</c:f>
              <c:strCache>
                <c:ptCount val="1"/>
                <c:pt idx="0">
                  <c:v>Spend</c:v>
                </c:pt>
              </c:strCache>
            </c:strRef>
          </c:tx>
          <c:spPr>
            <a:solidFill>
              <a:schemeClr val="accent6">
                <a:shade val="76000"/>
              </a:schemeClr>
            </a:solidFill>
            <a:ln>
              <a:noFill/>
            </a:ln>
            <a:effectLst/>
          </c:spPr>
          <c:invertIfNegative val="0"/>
          <c:cat>
            <c:strRef>
              <c:f>'Pivots &amp; KPIs'!$G$15:$G$19</c:f>
              <c:strCache>
                <c:ptCount val="4"/>
                <c:pt idx="0">
                  <c:v>Product A</c:v>
                </c:pt>
                <c:pt idx="1">
                  <c:v>Product B</c:v>
                </c:pt>
                <c:pt idx="2">
                  <c:v>Product C</c:v>
                </c:pt>
                <c:pt idx="3">
                  <c:v>Product D</c:v>
                </c:pt>
              </c:strCache>
            </c:strRef>
          </c:cat>
          <c:val>
            <c:numRef>
              <c:f>'Pivots &amp; KPIs'!$H$15:$H$19</c:f>
              <c:numCache>
                <c:formatCode>0</c:formatCode>
                <c:ptCount val="4"/>
                <c:pt idx="0">
                  <c:v>58368.759999999987</c:v>
                </c:pt>
                <c:pt idx="1">
                  <c:v>74135.669999999984</c:v>
                </c:pt>
                <c:pt idx="2">
                  <c:v>74208.400000000009</c:v>
                </c:pt>
                <c:pt idx="3">
                  <c:v>54453.49</c:v>
                </c:pt>
              </c:numCache>
            </c:numRef>
          </c:val>
          <c:extLst>
            <c:ext xmlns:c16="http://schemas.microsoft.com/office/drawing/2014/chart" uri="{C3380CC4-5D6E-409C-BE32-E72D297353CC}">
              <c16:uniqueId val="{00000000-14CC-4F2D-B575-275ED4DB3CBD}"/>
            </c:ext>
          </c:extLst>
        </c:ser>
        <c:ser>
          <c:idx val="1"/>
          <c:order val="1"/>
          <c:tx>
            <c:strRef>
              <c:f>'Pivots &amp; KPIs'!$I$14</c:f>
              <c:strCache>
                <c:ptCount val="1"/>
                <c:pt idx="0">
                  <c:v>Revenue</c:v>
                </c:pt>
              </c:strCache>
            </c:strRef>
          </c:tx>
          <c:spPr>
            <a:solidFill>
              <a:schemeClr val="accent6">
                <a:tint val="77000"/>
              </a:schemeClr>
            </a:solidFill>
            <a:ln>
              <a:noFill/>
            </a:ln>
            <a:effectLst/>
          </c:spPr>
          <c:invertIfNegative val="0"/>
          <c:cat>
            <c:strRef>
              <c:f>'Pivots &amp; KPIs'!$G$15:$G$19</c:f>
              <c:strCache>
                <c:ptCount val="4"/>
                <c:pt idx="0">
                  <c:v>Product A</c:v>
                </c:pt>
                <c:pt idx="1">
                  <c:v>Product B</c:v>
                </c:pt>
                <c:pt idx="2">
                  <c:v>Product C</c:v>
                </c:pt>
                <c:pt idx="3">
                  <c:v>Product D</c:v>
                </c:pt>
              </c:strCache>
            </c:strRef>
          </c:cat>
          <c:val>
            <c:numRef>
              <c:f>'Pivots &amp; KPIs'!$I$15:$I$19</c:f>
              <c:numCache>
                <c:formatCode>0</c:formatCode>
                <c:ptCount val="4"/>
                <c:pt idx="0">
                  <c:v>219967.14999999994</c:v>
                </c:pt>
                <c:pt idx="1">
                  <c:v>263435.47999999992</c:v>
                </c:pt>
                <c:pt idx="2">
                  <c:v>345183.16</c:v>
                </c:pt>
                <c:pt idx="3">
                  <c:v>213893.9</c:v>
                </c:pt>
              </c:numCache>
            </c:numRef>
          </c:val>
          <c:extLst>
            <c:ext xmlns:c16="http://schemas.microsoft.com/office/drawing/2014/chart" uri="{C3380CC4-5D6E-409C-BE32-E72D297353CC}">
              <c16:uniqueId val="{00000001-14CC-4F2D-B575-275ED4DB3CBD}"/>
            </c:ext>
          </c:extLst>
        </c:ser>
        <c:dLbls>
          <c:showLegendKey val="0"/>
          <c:showVal val="0"/>
          <c:showCatName val="0"/>
          <c:showSerName val="0"/>
          <c:showPercent val="0"/>
          <c:showBubbleSize val="0"/>
        </c:dLbls>
        <c:gapWidth val="69"/>
        <c:axId val="1221733896"/>
        <c:axId val="1010164744"/>
      </c:barChart>
      <c:catAx>
        <c:axId val="1221733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10164744"/>
        <c:crosses val="autoZero"/>
        <c:auto val="1"/>
        <c:lblAlgn val="ctr"/>
        <c:lblOffset val="100"/>
        <c:noMultiLvlLbl val="0"/>
      </c:catAx>
      <c:valAx>
        <c:axId val="1010164744"/>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1733896"/>
        <c:crosses val="autoZero"/>
        <c:crossBetween val="between"/>
      </c:valAx>
      <c:spPr>
        <a:noFill/>
        <a:ln>
          <a:noFill/>
        </a:ln>
        <a:effectLst/>
      </c:spPr>
    </c:plotArea>
    <c:legend>
      <c:legendPos val="t"/>
      <c:layout>
        <c:manualLayout>
          <c:xMode val="edge"/>
          <c:yMode val="edge"/>
          <c:x val="0.33742517277083484"/>
          <c:y val="0.16276898091758019"/>
          <c:w val="0.27010354210310866"/>
          <c:h val="6.851448684626967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rgbClr val="FFFFFF"/>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Which</a:t>
            </a:r>
            <a:r>
              <a:rPr lang="en-US" baseline="0"/>
              <a:t> Products Are Most Efficient in Terms of </a:t>
            </a:r>
            <a:r>
              <a:rPr lang="en-US"/>
              <a:t>ROI ?</a:t>
            </a:r>
          </a:p>
        </c:rich>
      </c:tx>
      <c:layout>
        <c:manualLayout>
          <c:xMode val="edge"/>
          <c:yMode val="edge"/>
          <c:x val="0.15244653176667772"/>
          <c:y val="6.2276015741637809E-4"/>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3.2520325203252036E-2"/>
          <c:y val="0.18487632712171639"/>
          <c:w val="0.93495934959349591"/>
          <c:h val="0.7415618875898734"/>
        </c:manualLayout>
      </c:layout>
      <c:barChart>
        <c:barDir val="col"/>
        <c:grouping val="clustered"/>
        <c:varyColors val="0"/>
        <c:ser>
          <c:idx val="0"/>
          <c:order val="0"/>
          <c:tx>
            <c:strRef>
              <c:f>'Pivots &amp; KPIs'!$H$38</c:f>
              <c:strCache>
                <c:ptCount val="1"/>
                <c:pt idx="0">
                  <c:v>Overall ROI</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rgbClr val="FFFF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&amp; KPIs'!$G$39:$G$42</c:f>
              <c:strCache>
                <c:ptCount val="4"/>
                <c:pt idx="0">
                  <c:v>Product A</c:v>
                </c:pt>
                <c:pt idx="1">
                  <c:v>Product B</c:v>
                </c:pt>
                <c:pt idx="2">
                  <c:v>Product C</c:v>
                </c:pt>
                <c:pt idx="3">
                  <c:v>Product D</c:v>
                </c:pt>
              </c:strCache>
            </c:strRef>
          </c:cat>
          <c:val>
            <c:numRef>
              <c:f>'Pivots &amp; KPIs'!$H$39:$H$42</c:f>
              <c:numCache>
                <c:formatCode>0%</c:formatCode>
                <c:ptCount val="4"/>
                <c:pt idx="0">
                  <c:v>2.7685767180937204</c:v>
                </c:pt>
                <c:pt idx="1">
                  <c:v>2.5534241479169206</c:v>
                </c:pt>
                <c:pt idx="2">
                  <c:v>3.651537561785458</c:v>
                </c:pt>
                <c:pt idx="3">
                  <c:v>2.928010858440846</c:v>
                </c:pt>
              </c:numCache>
            </c:numRef>
          </c:val>
          <c:extLst>
            <c:ext xmlns:c16="http://schemas.microsoft.com/office/drawing/2014/chart" uri="{C3380CC4-5D6E-409C-BE32-E72D297353CC}">
              <c16:uniqueId val="{00000000-014C-4BE1-A671-B1AE7426E8F1}"/>
            </c:ext>
          </c:extLst>
        </c:ser>
        <c:dLbls>
          <c:dLblPos val="outEnd"/>
          <c:showLegendKey val="0"/>
          <c:showVal val="1"/>
          <c:showCatName val="0"/>
          <c:showSerName val="0"/>
          <c:showPercent val="0"/>
          <c:showBubbleSize val="0"/>
        </c:dLbls>
        <c:gapWidth val="124"/>
        <c:overlap val="-24"/>
        <c:axId val="1255756808"/>
        <c:axId val="1255758856"/>
      </c:barChart>
      <c:catAx>
        <c:axId val="125575680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55758856"/>
        <c:crosses val="autoZero"/>
        <c:auto val="1"/>
        <c:lblAlgn val="ctr"/>
        <c:lblOffset val="100"/>
        <c:noMultiLvlLbl val="0"/>
      </c:catAx>
      <c:valAx>
        <c:axId val="1255758856"/>
        <c:scaling>
          <c:orientation val="minMax"/>
        </c:scaling>
        <c:delete val="1"/>
        <c:axPos val="l"/>
        <c:numFmt formatCode="0%" sourceLinked="1"/>
        <c:majorTickMark val="none"/>
        <c:minorTickMark val="none"/>
        <c:tickLblPos val="nextTo"/>
        <c:crossAx val="1255756808"/>
        <c:crosses val="autoZero"/>
        <c:crossBetween val="between"/>
      </c:valAx>
      <c:spPr>
        <a:noFill/>
        <a:ln>
          <a:noFill/>
        </a:ln>
        <a:effectLst/>
      </c:spPr>
    </c:plotArea>
    <c:plotVisOnly val="1"/>
    <c:dispBlanksAs val="gap"/>
    <c:showDLblsOverMax val="0"/>
  </c:chart>
  <c:spPr>
    <a:solidFill>
      <a:schemeClr val="bg1"/>
    </a:solidFill>
    <a:ln w="9525" cap="flat" cmpd="sng" algn="ctr">
      <a:solidFill>
        <a:srgbClr val="FFFFFF"/>
      </a:solidFill>
      <a:prstDash val="solid"/>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IN" sz="1600" b="1" i="0" u="none" strike="noStrike" baseline="0"/>
              <a:t>Which Products Drive the Highest Conversions?</a:t>
            </a:r>
            <a:endParaRPr lang="en-US" sz="1600" b="1"/>
          </a:p>
        </c:rich>
      </c:tx>
      <c:layout>
        <c:manualLayout>
          <c:xMode val="edge"/>
          <c:yMode val="edge"/>
          <c:x val="0.1518784972022382"/>
          <c:y val="1.5425470806048234E-3"/>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5817544389685104"/>
          <c:y val="0.26425364758698094"/>
          <c:w val="0.80025780950043113"/>
          <c:h val="0.67962962962962958"/>
        </c:manualLayout>
      </c:layout>
      <c:barChart>
        <c:barDir val="bar"/>
        <c:grouping val="clustered"/>
        <c:varyColors val="0"/>
        <c:ser>
          <c:idx val="0"/>
          <c:order val="0"/>
          <c:tx>
            <c:strRef>
              <c:f>'Pivots &amp; KPIs'!$Q$30</c:f>
              <c:strCache>
                <c:ptCount val="1"/>
                <c:pt idx="0">
                  <c:v>Conversion Rate %</c:v>
                </c:pt>
              </c:strCache>
            </c:strRef>
          </c:tx>
          <c:spPr>
            <a:solidFill>
              <a:srgbClr val="4D93D9"/>
            </a:solidFill>
            <a:ln>
              <a:noFill/>
            </a:ln>
            <a:effectLst/>
          </c:spPr>
          <c:invertIfNegative val="0"/>
          <c:dPt>
            <c:idx val="1"/>
            <c:invertIfNegative val="0"/>
            <c:bubble3D val="0"/>
            <c:spPr>
              <a:solidFill>
                <a:srgbClr val="4D93D9"/>
              </a:solidFill>
              <a:ln>
                <a:noFill/>
              </a:ln>
              <a:effectLst/>
            </c:spPr>
            <c:extLst>
              <c:ext xmlns:c16="http://schemas.microsoft.com/office/drawing/2014/chart" uri="{C3380CC4-5D6E-409C-BE32-E72D297353CC}">
                <c16:uniqueId val="{00000004-0FF4-4710-B344-65EF0036549E}"/>
              </c:ext>
            </c:extLst>
          </c:dPt>
          <c:dPt>
            <c:idx val="2"/>
            <c:invertIfNegative val="0"/>
            <c:bubble3D val="0"/>
            <c:spPr>
              <a:solidFill>
                <a:srgbClr val="4D93D9"/>
              </a:solidFill>
              <a:ln>
                <a:noFill/>
              </a:ln>
              <a:effectLst/>
            </c:spPr>
            <c:extLst>
              <c:ext xmlns:c16="http://schemas.microsoft.com/office/drawing/2014/chart" uri="{C3380CC4-5D6E-409C-BE32-E72D297353CC}">
                <c16:uniqueId val="{00000001-D126-4067-95FC-E804AF5F6698}"/>
              </c:ext>
            </c:extLst>
          </c:dPt>
          <c:dPt>
            <c:idx val="3"/>
            <c:invertIfNegative val="0"/>
            <c:bubble3D val="0"/>
            <c:spPr>
              <a:solidFill>
                <a:srgbClr val="4D93D9"/>
              </a:solidFill>
              <a:ln>
                <a:noFill/>
              </a:ln>
              <a:effectLst/>
            </c:spPr>
            <c:extLst>
              <c:ext xmlns:c16="http://schemas.microsoft.com/office/drawing/2014/chart" uri="{C3380CC4-5D6E-409C-BE32-E72D297353CC}">
                <c16:uniqueId val="{00000003-0FF4-4710-B344-65EF0036549E}"/>
              </c:ext>
            </c:extLst>
          </c:dPt>
          <c:dLbls>
            <c:spPr>
              <a:solidFill>
                <a:srgbClr val="FFFF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&amp; KPIs'!$P$31:$P$34</c:f>
              <c:strCache>
                <c:ptCount val="4"/>
                <c:pt idx="0">
                  <c:v>Product A</c:v>
                </c:pt>
                <c:pt idx="1">
                  <c:v>Product B</c:v>
                </c:pt>
                <c:pt idx="2">
                  <c:v>Product C</c:v>
                </c:pt>
                <c:pt idx="3">
                  <c:v>Product D</c:v>
                </c:pt>
              </c:strCache>
            </c:strRef>
          </c:cat>
          <c:val>
            <c:numRef>
              <c:f>'Pivots &amp; KPIs'!$Q$31:$Q$34</c:f>
              <c:numCache>
                <c:formatCode>0%</c:formatCode>
                <c:ptCount val="4"/>
                <c:pt idx="0">
                  <c:v>3.6457659987071754E-2</c:v>
                </c:pt>
                <c:pt idx="1">
                  <c:v>4.8216141323172847E-2</c:v>
                </c:pt>
                <c:pt idx="2">
                  <c:v>4.9191195969238925E-2</c:v>
                </c:pt>
                <c:pt idx="3">
                  <c:v>4.8160961398397671E-2</c:v>
                </c:pt>
              </c:numCache>
            </c:numRef>
          </c:val>
          <c:extLst>
            <c:ext xmlns:c16="http://schemas.microsoft.com/office/drawing/2014/chart" uri="{C3380CC4-5D6E-409C-BE32-E72D297353CC}">
              <c16:uniqueId val="{00000000-07F8-4E21-A0D1-5A3058D8AA7D}"/>
            </c:ext>
          </c:extLst>
        </c:ser>
        <c:dLbls>
          <c:dLblPos val="outEnd"/>
          <c:showLegendKey val="0"/>
          <c:showVal val="1"/>
          <c:showCatName val="0"/>
          <c:showSerName val="0"/>
          <c:showPercent val="0"/>
          <c:showBubbleSize val="0"/>
        </c:dLbls>
        <c:gapWidth val="58"/>
        <c:axId val="1095056392"/>
        <c:axId val="1095101448"/>
      </c:barChart>
      <c:catAx>
        <c:axId val="10950563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95101448"/>
        <c:crosses val="autoZero"/>
        <c:auto val="1"/>
        <c:lblAlgn val="ctr"/>
        <c:lblOffset val="100"/>
        <c:noMultiLvlLbl val="0"/>
      </c:catAx>
      <c:valAx>
        <c:axId val="1095101448"/>
        <c:scaling>
          <c:orientation val="minMax"/>
        </c:scaling>
        <c:delete val="1"/>
        <c:axPos val="b"/>
        <c:numFmt formatCode="0%" sourceLinked="1"/>
        <c:majorTickMark val="none"/>
        <c:minorTickMark val="none"/>
        <c:tickLblPos val="nextTo"/>
        <c:crossAx val="10950563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IN" sz="1600" b="1" i="0" u="none" strike="noStrike" baseline="0"/>
              <a:t>Which Products Deliver the Best Return per $ Spent ?</a:t>
            </a:r>
            <a:endParaRPr lang="en-US" sz="1600" b="1"/>
          </a:p>
        </c:rich>
      </c:tx>
      <c:layout>
        <c:manualLayout>
          <c:xMode val="edge"/>
          <c:yMode val="edge"/>
          <c:x val="0.16040057352714146"/>
          <c:y val="6.0344564503636853E-3"/>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6496592973955179"/>
          <c:y val="0.27354948805460749"/>
          <c:w val="0.7613161215424995"/>
          <c:h val="0.66387940841865745"/>
        </c:manualLayout>
      </c:layout>
      <c:barChart>
        <c:barDir val="bar"/>
        <c:grouping val="clustered"/>
        <c:varyColors val="0"/>
        <c:ser>
          <c:idx val="0"/>
          <c:order val="0"/>
          <c:tx>
            <c:strRef>
              <c:f>'Pivots &amp; KPIs'!$H$55</c:f>
              <c:strCache>
                <c:ptCount val="1"/>
                <c:pt idx="0">
                  <c:v>Revenue/$ Spent</c:v>
                </c:pt>
              </c:strCache>
            </c:strRef>
          </c:tx>
          <c:spPr>
            <a:solidFill>
              <a:srgbClr val="469C99"/>
            </a:solidFill>
            <a:ln>
              <a:noFill/>
            </a:ln>
            <a:effectLst/>
          </c:spPr>
          <c:invertIfNegative val="0"/>
          <c:dLbls>
            <c:spPr>
              <a:solidFill>
                <a:srgbClr val="FFFF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&amp; KPIs'!$G$56:$G$59</c:f>
              <c:strCache>
                <c:ptCount val="4"/>
                <c:pt idx="0">
                  <c:v>Product A</c:v>
                </c:pt>
                <c:pt idx="1">
                  <c:v>Product B</c:v>
                </c:pt>
                <c:pt idx="2">
                  <c:v>Product C</c:v>
                </c:pt>
                <c:pt idx="3">
                  <c:v>Product D</c:v>
                </c:pt>
              </c:strCache>
            </c:strRef>
          </c:cat>
          <c:val>
            <c:numRef>
              <c:f>'Pivots &amp; KPIs'!$H$56:$H$59</c:f>
              <c:numCache>
                <c:formatCode>"$"#,##0.00</c:formatCode>
                <c:ptCount val="4"/>
                <c:pt idx="0">
                  <c:v>3.7685767180937195</c:v>
                </c:pt>
                <c:pt idx="1">
                  <c:v>3.5534241479169202</c:v>
                </c:pt>
                <c:pt idx="2">
                  <c:v>4.6515375617854575</c:v>
                </c:pt>
                <c:pt idx="3">
                  <c:v>3.9280108584408455</c:v>
                </c:pt>
              </c:numCache>
            </c:numRef>
          </c:val>
          <c:extLst>
            <c:ext xmlns:c16="http://schemas.microsoft.com/office/drawing/2014/chart" uri="{C3380CC4-5D6E-409C-BE32-E72D297353CC}">
              <c16:uniqueId val="{00000000-1717-4D1D-AB10-DCE096871D09}"/>
            </c:ext>
          </c:extLst>
        </c:ser>
        <c:dLbls>
          <c:dLblPos val="outEnd"/>
          <c:showLegendKey val="0"/>
          <c:showVal val="1"/>
          <c:showCatName val="0"/>
          <c:showSerName val="0"/>
          <c:showPercent val="0"/>
          <c:showBubbleSize val="0"/>
        </c:dLbls>
        <c:gapWidth val="58"/>
        <c:axId val="1122537992"/>
        <c:axId val="1122540040"/>
      </c:barChart>
      <c:catAx>
        <c:axId val="11225379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22540040"/>
        <c:crosses val="autoZero"/>
        <c:auto val="1"/>
        <c:lblAlgn val="ctr"/>
        <c:lblOffset val="100"/>
        <c:noMultiLvlLbl val="0"/>
      </c:catAx>
      <c:valAx>
        <c:axId val="1122540040"/>
        <c:scaling>
          <c:orientation val="minMax"/>
        </c:scaling>
        <c:delete val="1"/>
        <c:axPos val="b"/>
        <c:numFmt formatCode="&quot;$&quot;#,##0.00" sourceLinked="1"/>
        <c:majorTickMark val="none"/>
        <c:minorTickMark val="none"/>
        <c:tickLblPos val="nextTo"/>
        <c:crossAx val="11225379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i="0" u="none" strike="noStrike" baseline="0">
                <a:effectLst/>
              </a:rPr>
              <a:t>Which Channel Converts More Customers ? </a:t>
            </a:r>
            <a:endParaRPr lang="en-US" sz="1400" b="1"/>
          </a:p>
        </c:rich>
      </c:tx>
      <c:layout>
        <c:manualLayout>
          <c:xMode val="edge"/>
          <c:yMode val="edge"/>
          <c:x val="0.11904339975726268"/>
          <c:y val="5.560159643655991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9014247364865269"/>
          <c:y val="0.25795672418515481"/>
          <c:w val="0.76126223402029192"/>
          <c:h val="0.68726376335250627"/>
        </c:manualLayout>
      </c:layout>
      <c:barChart>
        <c:barDir val="bar"/>
        <c:grouping val="clustered"/>
        <c:varyColors val="0"/>
        <c:ser>
          <c:idx val="0"/>
          <c:order val="0"/>
          <c:tx>
            <c:strRef>
              <c:f>'Pivots &amp; KPIs'!$K$30</c:f>
              <c:strCache>
                <c:ptCount val="1"/>
                <c:pt idx="0">
                  <c:v>Conversion Rate %</c:v>
                </c:pt>
              </c:strCache>
            </c:strRef>
          </c:tx>
          <c:spPr>
            <a:solidFill>
              <a:srgbClr val="4D93D9"/>
            </a:solidFill>
            <a:ln>
              <a:noFill/>
            </a:ln>
            <a:effectLst/>
          </c:spPr>
          <c:invertIfNegative val="0"/>
          <c:dPt>
            <c:idx val="0"/>
            <c:invertIfNegative val="0"/>
            <c:bubble3D val="0"/>
            <c:spPr>
              <a:solidFill>
                <a:schemeClr val="tx2">
                  <a:lumMod val="75000"/>
                  <a:lumOff val="25000"/>
                </a:schemeClr>
              </a:solidFill>
              <a:ln>
                <a:noFill/>
              </a:ln>
              <a:effectLst/>
            </c:spPr>
            <c:extLst>
              <c:ext xmlns:c16="http://schemas.microsoft.com/office/drawing/2014/chart" uri="{C3380CC4-5D6E-409C-BE32-E72D297353CC}">
                <c16:uniqueId val="{00000001-C32A-442B-9524-8A5F034D3040}"/>
              </c:ext>
            </c:extLst>
          </c:dPt>
          <c:dPt>
            <c:idx val="1"/>
            <c:invertIfNegative val="0"/>
            <c:bubble3D val="0"/>
            <c:spPr>
              <a:solidFill>
                <a:srgbClr val="DAE9F8"/>
              </a:solidFill>
              <a:ln>
                <a:noFill/>
              </a:ln>
              <a:effectLst/>
            </c:spPr>
            <c:extLst>
              <c:ext xmlns:c16="http://schemas.microsoft.com/office/drawing/2014/chart" uri="{C3380CC4-5D6E-409C-BE32-E72D297353CC}">
                <c16:uniqueId val="{00000000-88EA-4114-AE72-5B6FAB46F099}"/>
              </c:ext>
            </c:extLst>
          </c:dPt>
          <c:dPt>
            <c:idx val="2"/>
            <c:invertIfNegative val="0"/>
            <c:bubble3D val="0"/>
            <c:spPr>
              <a:solidFill>
                <a:schemeClr val="tx2">
                  <a:lumMod val="25000"/>
                  <a:lumOff val="75000"/>
                </a:schemeClr>
              </a:solidFill>
              <a:ln>
                <a:noFill/>
              </a:ln>
              <a:effectLst/>
            </c:spPr>
            <c:extLst>
              <c:ext xmlns:c16="http://schemas.microsoft.com/office/drawing/2014/chart" uri="{C3380CC4-5D6E-409C-BE32-E72D297353CC}">
                <c16:uniqueId val="{00000003-C32A-442B-9524-8A5F034D3040}"/>
              </c:ext>
            </c:extLst>
          </c:dPt>
          <c:dPt>
            <c:idx val="3"/>
            <c:invertIfNegative val="0"/>
            <c:bubble3D val="0"/>
            <c:spPr>
              <a:solidFill>
                <a:srgbClr val="4D93D9"/>
              </a:solidFill>
              <a:ln>
                <a:noFill/>
              </a:ln>
              <a:effectLst/>
            </c:spPr>
            <c:extLst>
              <c:ext xmlns:c16="http://schemas.microsoft.com/office/drawing/2014/chart" uri="{C3380CC4-5D6E-409C-BE32-E72D297353CC}">
                <c16:uniqueId val="{00000002-C32A-442B-9524-8A5F034D304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&amp; KPIs'!$J$31:$J$34</c:f>
              <c:strCache>
                <c:ptCount val="4"/>
                <c:pt idx="0">
                  <c:v>Direct Mail</c:v>
                </c:pt>
                <c:pt idx="1">
                  <c:v>Email</c:v>
                </c:pt>
                <c:pt idx="2">
                  <c:v>Search Engine</c:v>
                </c:pt>
                <c:pt idx="3">
                  <c:v>Social Media</c:v>
                </c:pt>
              </c:strCache>
            </c:strRef>
          </c:cat>
          <c:val>
            <c:numRef>
              <c:f>'Pivots &amp; KPIs'!$K$31:$K$34</c:f>
              <c:numCache>
                <c:formatCode>0%</c:formatCode>
                <c:ptCount val="4"/>
                <c:pt idx="0">
                  <c:v>5.6133056133056136E-2</c:v>
                </c:pt>
                <c:pt idx="1">
                  <c:v>3.6797111453300058E-2</c:v>
                </c:pt>
                <c:pt idx="2">
                  <c:v>4.2688081149619611E-2</c:v>
                </c:pt>
                <c:pt idx="3">
                  <c:v>5.1609771881572564E-2</c:v>
                </c:pt>
              </c:numCache>
            </c:numRef>
          </c:val>
          <c:extLst>
            <c:ext xmlns:c16="http://schemas.microsoft.com/office/drawing/2014/chart" uri="{C3380CC4-5D6E-409C-BE32-E72D297353CC}">
              <c16:uniqueId val="{00000000-D43A-4273-8B08-CEDB318EE9C7}"/>
            </c:ext>
          </c:extLst>
        </c:ser>
        <c:dLbls>
          <c:showLegendKey val="0"/>
          <c:showVal val="0"/>
          <c:showCatName val="0"/>
          <c:showSerName val="0"/>
          <c:showPercent val="0"/>
          <c:showBubbleSize val="0"/>
        </c:dLbls>
        <c:gapWidth val="80"/>
        <c:axId val="1935556104"/>
        <c:axId val="2040272392"/>
      </c:barChart>
      <c:catAx>
        <c:axId val="19355561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40272392"/>
        <c:crosses val="autoZero"/>
        <c:auto val="1"/>
        <c:lblAlgn val="ctr"/>
        <c:lblOffset val="100"/>
        <c:noMultiLvlLbl val="0"/>
      </c:catAx>
      <c:valAx>
        <c:axId val="2040272392"/>
        <c:scaling>
          <c:orientation val="minMax"/>
        </c:scaling>
        <c:delete val="1"/>
        <c:axPos val="b"/>
        <c:numFmt formatCode="0%" sourceLinked="1"/>
        <c:majorTickMark val="none"/>
        <c:minorTickMark val="none"/>
        <c:tickLblPos val="nextTo"/>
        <c:crossAx val="19355561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a:t>This is Revenue</a:t>
            </a:r>
            <a:r>
              <a:rPr lang="en-US" sz="1200" b="1" baseline="0"/>
              <a:t> per </a:t>
            </a:r>
            <a:r>
              <a:rPr lang="en-US" sz="1200" b="1"/>
              <a:t>$ Spent Across</a:t>
            </a:r>
            <a:r>
              <a:rPr lang="en-US" sz="1200" b="1" baseline="0"/>
              <a:t> Channels:</a:t>
            </a:r>
            <a:endParaRPr lang="en-US" sz="1200" b="1"/>
          </a:p>
        </c:rich>
      </c:tx>
      <c:layout>
        <c:manualLayout>
          <c:xMode val="edge"/>
          <c:yMode val="edge"/>
          <c:x val="0.14573836578980298"/>
          <c:y val="9.795295602077822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0579728903750044"/>
          <c:y val="0.2781325200870679"/>
          <c:w val="0.7515847505363199"/>
          <c:h val="0.69998564183853385"/>
        </c:manualLayout>
      </c:layout>
      <c:barChart>
        <c:barDir val="bar"/>
        <c:grouping val="clustered"/>
        <c:varyColors val="0"/>
        <c:ser>
          <c:idx val="0"/>
          <c:order val="0"/>
          <c:tx>
            <c:strRef>
              <c:f>'Pivots &amp; KPIs'!$B$55</c:f>
              <c:strCache>
                <c:ptCount val="1"/>
                <c:pt idx="0">
                  <c:v>Revenue/$ Spent</c:v>
                </c:pt>
              </c:strCache>
            </c:strRef>
          </c:tx>
          <c:spPr>
            <a:solidFill>
              <a:srgbClr val="469C99"/>
            </a:solidFill>
            <a:ln>
              <a:noFill/>
            </a:ln>
            <a:effectLst/>
          </c:spPr>
          <c:invertIfNegative val="0"/>
          <c:dLbls>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&amp; KPIs'!$A$56:$A$59</c:f>
              <c:strCache>
                <c:ptCount val="4"/>
                <c:pt idx="0">
                  <c:v>Direct Mail</c:v>
                </c:pt>
                <c:pt idx="1">
                  <c:v>Email</c:v>
                </c:pt>
                <c:pt idx="2">
                  <c:v>Search Engine</c:v>
                </c:pt>
                <c:pt idx="3">
                  <c:v>Social Media</c:v>
                </c:pt>
              </c:strCache>
            </c:strRef>
          </c:cat>
          <c:val>
            <c:numRef>
              <c:f>'Pivots &amp; KPIs'!$B$56:$B$59</c:f>
              <c:numCache>
                <c:formatCode>"$"#,##0.00</c:formatCode>
                <c:ptCount val="4"/>
                <c:pt idx="0">
                  <c:v>3.1383011861662697</c:v>
                </c:pt>
                <c:pt idx="1">
                  <c:v>3.8207135596234605</c:v>
                </c:pt>
                <c:pt idx="2">
                  <c:v>4.6931362627613824</c:v>
                </c:pt>
                <c:pt idx="3">
                  <c:v>4.2975061067482594</c:v>
                </c:pt>
              </c:numCache>
            </c:numRef>
          </c:val>
          <c:extLst>
            <c:ext xmlns:c16="http://schemas.microsoft.com/office/drawing/2014/chart" uri="{C3380CC4-5D6E-409C-BE32-E72D297353CC}">
              <c16:uniqueId val="{00000000-401F-41E6-8387-FEAE7FD21172}"/>
            </c:ext>
          </c:extLst>
        </c:ser>
        <c:dLbls>
          <c:dLblPos val="inEnd"/>
          <c:showLegendKey val="0"/>
          <c:showVal val="1"/>
          <c:showCatName val="0"/>
          <c:showSerName val="0"/>
          <c:showPercent val="0"/>
          <c:showBubbleSize val="0"/>
        </c:dLbls>
        <c:gapWidth val="58"/>
        <c:axId val="1255788552"/>
        <c:axId val="1255792136"/>
      </c:barChart>
      <c:catAx>
        <c:axId val="12557885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55792136"/>
        <c:crosses val="autoZero"/>
        <c:auto val="1"/>
        <c:lblAlgn val="ctr"/>
        <c:lblOffset val="100"/>
        <c:noMultiLvlLbl val="0"/>
      </c:catAx>
      <c:valAx>
        <c:axId val="1255792136"/>
        <c:scaling>
          <c:orientation val="minMax"/>
        </c:scaling>
        <c:delete val="1"/>
        <c:axPos val="b"/>
        <c:numFmt formatCode="&quot;$&quot;#,##0.00" sourceLinked="1"/>
        <c:majorTickMark val="none"/>
        <c:minorTickMark val="none"/>
        <c:tickLblPos val="nextTo"/>
        <c:crossAx val="1255788552"/>
        <c:crosses val="autoZero"/>
        <c:crossBetween val="between"/>
      </c:valAx>
      <c:spPr>
        <a:noFill/>
        <a:ln>
          <a:noFill/>
        </a:ln>
        <a:effectLst/>
      </c:spPr>
    </c:plotArea>
    <c:plotVisOnly val="1"/>
    <c:dispBlanksAs val="gap"/>
    <c:showDLblsOverMax val="0"/>
  </c:chart>
  <c:spPr>
    <a:solidFill>
      <a:schemeClr val="bg1"/>
    </a:solidFill>
    <a:ln w="9525" cap="flat" cmpd="sng" algn="ctr">
      <a:solidFill>
        <a:srgbClr val="FFFFFF"/>
      </a:solidFill>
      <a:prstDash val="solid"/>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baseline="0">
                <a:solidFill>
                  <a:schemeClr val="dk1">
                    <a:lumMod val="65000"/>
                    <a:lumOff val="35000"/>
                  </a:schemeClr>
                </a:solidFill>
                <a:effectLst/>
                <a:latin typeface="+mn-lt"/>
                <a:ea typeface="+mn-ea"/>
                <a:cs typeface="+mn-cs"/>
              </a:defRPr>
            </a:pPr>
            <a:r>
              <a:rPr lang="en-US" sz="1600" b="1"/>
              <a:t>&amp;</a:t>
            </a:r>
            <a:r>
              <a:rPr lang="en-US" sz="1600" b="1" baseline="0"/>
              <a:t> Highest Returns (</a:t>
            </a:r>
            <a:r>
              <a:rPr lang="en-US" sz="1600" b="1" i="0" u="none" strike="noStrike" kern="1200" baseline="0">
                <a:solidFill>
                  <a:sysClr val="windowText" lastClr="000000">
                    <a:lumMod val="65000"/>
                    <a:lumOff val="35000"/>
                  </a:sysClr>
                </a:solidFill>
                <a:effectLst/>
              </a:rPr>
              <a:t>ROI)</a:t>
            </a:r>
            <a:r>
              <a:rPr lang="en-US" sz="1600" b="1" baseline="0"/>
              <a:t> Generating Channel is..</a:t>
            </a:r>
            <a:r>
              <a:rPr lang="en-US" sz="1600" b="1"/>
              <a:t> </a:t>
            </a:r>
          </a:p>
        </c:rich>
      </c:tx>
      <c:layout>
        <c:manualLayout>
          <c:xMode val="edge"/>
          <c:yMode val="edge"/>
          <c:x val="0.13032580927384077"/>
          <c:y val="0"/>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dk1">
                  <a:lumMod val="65000"/>
                  <a:lumOff val="35000"/>
                </a:schemeClr>
              </a:solidFill>
              <a:effectLst/>
              <a:latin typeface="+mn-lt"/>
              <a:ea typeface="+mn-ea"/>
              <a:cs typeface="+mn-cs"/>
            </a:defRPr>
          </a:pPr>
          <a:endParaRPr lang="en-US"/>
        </a:p>
      </c:txPr>
    </c:title>
    <c:autoTitleDeleted val="0"/>
    <c:plotArea>
      <c:layout/>
      <c:barChart>
        <c:barDir val="col"/>
        <c:grouping val="clustered"/>
        <c:varyColors val="0"/>
        <c:ser>
          <c:idx val="0"/>
          <c:order val="0"/>
          <c:tx>
            <c:strRef>
              <c:f>'Pivots &amp; KPIs'!$B$38</c:f>
              <c:strCache>
                <c:ptCount val="1"/>
                <c:pt idx="0">
                  <c:v>Overall ROI</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solidFill>
                <a:srgbClr val="FFFF00"/>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'Pivots &amp; KPIs'!$A$39:$A$42</c:f>
              <c:strCache>
                <c:ptCount val="4"/>
                <c:pt idx="0">
                  <c:v>Direct Mail</c:v>
                </c:pt>
                <c:pt idx="1">
                  <c:v>Email</c:v>
                </c:pt>
                <c:pt idx="2">
                  <c:v>Search Engine</c:v>
                </c:pt>
                <c:pt idx="3">
                  <c:v>Social Media</c:v>
                </c:pt>
              </c:strCache>
            </c:strRef>
          </c:cat>
          <c:val>
            <c:numRef>
              <c:f>'Pivots &amp; KPIs'!$B$39:$B$42</c:f>
              <c:numCache>
                <c:formatCode>0%</c:formatCode>
                <c:ptCount val="4"/>
                <c:pt idx="0">
                  <c:v>2.1383011861662693</c:v>
                </c:pt>
                <c:pt idx="1">
                  <c:v>2.8207135596234614</c:v>
                </c:pt>
                <c:pt idx="2">
                  <c:v>3.6931362627613842</c:v>
                </c:pt>
                <c:pt idx="3">
                  <c:v>3.2975061067482589</c:v>
                </c:pt>
              </c:numCache>
            </c:numRef>
          </c:val>
          <c:extLst>
            <c:ext xmlns:c16="http://schemas.microsoft.com/office/drawing/2014/chart" uri="{C3380CC4-5D6E-409C-BE32-E72D297353CC}">
              <c16:uniqueId val="{00000000-4370-4582-A768-DC2FFF407380}"/>
            </c:ext>
          </c:extLst>
        </c:ser>
        <c:dLbls>
          <c:dLblPos val="inEnd"/>
          <c:showLegendKey val="0"/>
          <c:showVal val="1"/>
          <c:showCatName val="0"/>
          <c:showSerName val="0"/>
          <c:showPercent val="0"/>
          <c:showBubbleSize val="0"/>
        </c:dLbls>
        <c:gapWidth val="124"/>
        <c:axId val="1937160711"/>
        <c:axId val="2040144392"/>
      </c:barChart>
      <c:catAx>
        <c:axId val="19371607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lumMod val="65000"/>
                    <a:lumOff val="35000"/>
                  </a:schemeClr>
                </a:solidFill>
                <a:effectLst/>
                <a:latin typeface="+mn-lt"/>
                <a:ea typeface="+mn-ea"/>
                <a:cs typeface="+mn-cs"/>
              </a:defRPr>
            </a:pPr>
            <a:endParaRPr lang="en-US"/>
          </a:p>
        </c:txPr>
        <c:crossAx val="2040144392"/>
        <c:crosses val="autoZero"/>
        <c:auto val="1"/>
        <c:lblAlgn val="ctr"/>
        <c:lblOffset val="100"/>
        <c:noMultiLvlLbl val="0"/>
      </c:catAx>
      <c:valAx>
        <c:axId val="2040144392"/>
        <c:scaling>
          <c:orientation val="minMax"/>
        </c:scaling>
        <c:delete val="1"/>
        <c:axPos val="l"/>
        <c:numFmt formatCode="0%" sourceLinked="1"/>
        <c:majorTickMark val="none"/>
        <c:minorTickMark val="none"/>
        <c:tickLblPos val="nextTo"/>
        <c:crossAx val="1937160711"/>
        <c:crosses val="autoZero"/>
        <c:crossBetween val="between"/>
      </c:valAx>
      <c:spPr>
        <a:noFill/>
        <a:ln>
          <a:noFill/>
        </a:ln>
        <a:effectLst/>
      </c:spPr>
    </c:plotArea>
    <c:plotVisOnly val="1"/>
    <c:dispBlanksAs val="gap"/>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rgbClr val="FFFFFF"/>
      </a:solidFill>
      <a:prstDash val="solid"/>
      <a:round/>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[Marketing-performance-Analysis.xlsx]Pivots &amp; KPIs!PivotTable5</c:name>
    <c:fmtId val="9"/>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IN" sz="1200" b="1" i="0" u="none" strike="noStrike" baseline="0"/>
              <a:t>How Revenue Is Generated Compared to Spend Across Channels ?</a:t>
            </a:r>
            <a:endParaRPr lang="en-IN" sz="1200" b="1"/>
          </a:p>
        </c:rich>
      </c:tx>
      <c:layout>
        <c:manualLayout>
          <c:xMode val="edge"/>
          <c:yMode val="edge"/>
          <c:x val="0.14068845740000191"/>
          <c:y val="1.2878384518796124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pivotFmt>
      <c:pivotFmt>
        <c:idx val="11"/>
        <c:spPr>
          <a:solidFill>
            <a:schemeClr val="accent6"/>
          </a:solidFill>
          <a:ln>
            <a:noFill/>
          </a:ln>
          <a:effectLst/>
        </c:spPr>
        <c:marker>
          <c:symbol val="none"/>
        </c:marker>
      </c:pivotFmt>
      <c:pivotFmt>
        <c:idx val="1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13925377971822"/>
          <c:y val="0.17344163241545091"/>
          <c:w val="0.82834823613150055"/>
          <c:h val="0.70536627472235192"/>
        </c:manualLayout>
      </c:layout>
      <c:barChart>
        <c:barDir val="col"/>
        <c:grouping val="clustered"/>
        <c:varyColors val="0"/>
        <c:ser>
          <c:idx val="0"/>
          <c:order val="0"/>
          <c:tx>
            <c:strRef>
              <c:f>'Pivots &amp; KPIs'!$B$14</c:f>
              <c:strCache>
                <c:ptCount val="1"/>
                <c:pt idx="0">
                  <c:v>Spend</c:v>
                </c:pt>
              </c:strCache>
            </c:strRef>
          </c:tx>
          <c:spPr>
            <a:solidFill>
              <a:schemeClr val="accent6">
                <a:shade val="76000"/>
              </a:schemeClr>
            </a:solidFill>
            <a:ln>
              <a:noFill/>
            </a:ln>
            <a:effectLst/>
          </c:spPr>
          <c:invertIfNegative val="0"/>
          <c:cat>
            <c:strRef>
              <c:f>'Pivots &amp; KPIs'!$A$15:$A$19</c:f>
              <c:strCache>
                <c:ptCount val="4"/>
                <c:pt idx="0">
                  <c:v>Direct Mail</c:v>
                </c:pt>
                <c:pt idx="1">
                  <c:v>Email</c:v>
                </c:pt>
                <c:pt idx="2">
                  <c:v>Search Engine</c:v>
                </c:pt>
                <c:pt idx="3">
                  <c:v>Social Media</c:v>
                </c:pt>
              </c:strCache>
            </c:strRef>
          </c:cat>
          <c:val>
            <c:numRef>
              <c:f>'Pivots &amp; KPIs'!$B$15:$B$19</c:f>
              <c:numCache>
                <c:formatCode>0</c:formatCode>
                <c:ptCount val="4"/>
                <c:pt idx="0">
                  <c:v>55923.02</c:v>
                </c:pt>
                <c:pt idx="1">
                  <c:v>79171.51999999999</c:v>
                </c:pt>
                <c:pt idx="2">
                  <c:v>57352.719999999987</c:v>
                </c:pt>
                <c:pt idx="3">
                  <c:v>68719.06</c:v>
                </c:pt>
              </c:numCache>
            </c:numRef>
          </c:val>
          <c:extLst>
            <c:ext xmlns:c16="http://schemas.microsoft.com/office/drawing/2014/chart" uri="{C3380CC4-5D6E-409C-BE32-E72D297353CC}">
              <c16:uniqueId val="{00000000-5D7F-4C47-8207-B2C321106D75}"/>
            </c:ext>
          </c:extLst>
        </c:ser>
        <c:ser>
          <c:idx val="1"/>
          <c:order val="1"/>
          <c:tx>
            <c:strRef>
              <c:f>'Pivots &amp; KPIs'!$C$14</c:f>
              <c:strCache>
                <c:ptCount val="1"/>
                <c:pt idx="0">
                  <c:v>Revenue</c:v>
                </c:pt>
              </c:strCache>
            </c:strRef>
          </c:tx>
          <c:spPr>
            <a:solidFill>
              <a:schemeClr val="accent6">
                <a:tint val="77000"/>
              </a:schemeClr>
            </a:solidFill>
            <a:ln>
              <a:noFill/>
            </a:ln>
            <a:effectLst/>
          </c:spPr>
          <c:invertIfNegative val="0"/>
          <c:cat>
            <c:strRef>
              <c:f>'Pivots &amp; KPIs'!$A$15:$A$19</c:f>
              <c:strCache>
                <c:ptCount val="4"/>
                <c:pt idx="0">
                  <c:v>Direct Mail</c:v>
                </c:pt>
                <c:pt idx="1">
                  <c:v>Email</c:v>
                </c:pt>
                <c:pt idx="2">
                  <c:v>Search Engine</c:v>
                </c:pt>
                <c:pt idx="3">
                  <c:v>Social Media</c:v>
                </c:pt>
              </c:strCache>
            </c:strRef>
          </c:cat>
          <c:val>
            <c:numRef>
              <c:f>'Pivots &amp; KPIs'!$C$15:$C$19</c:f>
              <c:numCache>
                <c:formatCode>0</c:formatCode>
                <c:ptCount val="4"/>
                <c:pt idx="0">
                  <c:v>175503.28000000003</c:v>
                </c:pt>
                <c:pt idx="1">
                  <c:v>302491.69999999995</c:v>
                </c:pt>
                <c:pt idx="2">
                  <c:v>269164.12999999995</c:v>
                </c:pt>
                <c:pt idx="3">
                  <c:v>295320.58</c:v>
                </c:pt>
              </c:numCache>
            </c:numRef>
          </c:val>
          <c:extLst>
            <c:ext xmlns:c16="http://schemas.microsoft.com/office/drawing/2014/chart" uri="{C3380CC4-5D6E-409C-BE32-E72D297353CC}">
              <c16:uniqueId val="{00000001-5D7F-4C47-8207-B2C321106D75}"/>
            </c:ext>
          </c:extLst>
        </c:ser>
        <c:dLbls>
          <c:showLegendKey val="0"/>
          <c:showVal val="0"/>
          <c:showCatName val="0"/>
          <c:showSerName val="0"/>
          <c:showPercent val="0"/>
          <c:showBubbleSize val="0"/>
        </c:dLbls>
        <c:gapWidth val="69"/>
        <c:axId val="1985340936"/>
        <c:axId val="1997083656"/>
      </c:barChart>
      <c:catAx>
        <c:axId val="1985340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97083656"/>
        <c:crosses val="autoZero"/>
        <c:auto val="1"/>
        <c:lblAlgn val="ctr"/>
        <c:lblOffset val="100"/>
        <c:noMultiLvlLbl val="0"/>
      </c:catAx>
      <c:valAx>
        <c:axId val="199708365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5340936"/>
        <c:crosses val="autoZero"/>
        <c:crossBetween val="between"/>
      </c:valAx>
      <c:spPr>
        <a:noFill/>
        <a:ln>
          <a:noFill/>
        </a:ln>
        <a:effectLst/>
      </c:spPr>
    </c:plotArea>
    <c:legend>
      <c:legendPos val="b"/>
      <c:layout>
        <c:manualLayout>
          <c:xMode val="edge"/>
          <c:yMode val="edge"/>
          <c:x val="0.71485439021792918"/>
          <c:y val="0.13891741793145421"/>
          <c:w val="0.2851456279829428"/>
          <c:h val="6.728515992917154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rgbClr val="FFFFFF"/>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[Marketing-performance-Analysis.xlsx]Pivots &amp; KPIs!PivotTable21</c:name>
    <c:fmtId val="4"/>
  </c:pivotSource>
  <c:chart>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IN" sz="1200" b="1" i="0" u="none" strike="noStrike" baseline="0"/>
              <a:t>Which Channel is More Efficient &amp; Cost Effective?</a:t>
            </a:r>
            <a:endParaRPr lang="en-IN" sz="1200"/>
          </a:p>
        </c:rich>
      </c:tx>
      <c:layout>
        <c:manualLayout>
          <c:xMode val="edge"/>
          <c:yMode val="edge"/>
          <c:x val="0.14302688191373339"/>
          <c:y val="2.5358943102823446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bg2">
              <a:lumMod val="75000"/>
            </a:schemeClr>
          </a:solidFill>
          <a:ln>
            <a:solidFill>
              <a:schemeClr val="bg2">
                <a:lumMod val="50000"/>
              </a:schemeClr>
            </a:solid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469C99"/>
            </a:solidFill>
            <a:round/>
          </a:ln>
          <a:effectLst>
            <a:outerShdw blurRad="57150" dist="19050" dir="5400000" algn="ctr" rotWithShape="0">
              <a:srgbClr val="000000">
                <a:alpha val="63000"/>
              </a:srgbClr>
            </a:outerShdw>
          </a:effectLst>
        </c:spPr>
        <c:marker>
          <c:symbol val="circle"/>
          <c:size val="6"/>
          <c:spPr>
            <a:solidFill>
              <a:srgbClr val="38C2AD"/>
            </a:solidFill>
            <a:ln w="9525">
              <a:solidFill>
                <a:srgbClr val="469C99"/>
              </a:solidFill>
              <a:round/>
            </a:ln>
            <a:effectLst>
              <a:outerShdw blurRad="57150" dist="19050" dir="5400000" algn="ctr" rotWithShape="0">
                <a:srgbClr val="000000">
                  <a:alpha val="63000"/>
                </a:srgbClr>
              </a:outerShdw>
            </a:effectLst>
          </c:spPr>
        </c:marker>
      </c:pivotFmt>
      <c:pivotFmt>
        <c:idx val="16"/>
        <c:spPr>
          <a:solidFill>
            <a:schemeClr val="bg2">
              <a:lumMod val="75000"/>
            </a:schemeClr>
          </a:solidFill>
          <a:ln>
            <a:solidFill>
              <a:schemeClr val="bg2">
                <a:lumMod val="50000"/>
              </a:schemeClr>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469C99"/>
            </a:solidFill>
            <a:round/>
          </a:ln>
          <a:effectLst>
            <a:outerShdw blurRad="57150" dist="19050" dir="5400000" algn="ctr" rotWithShape="0">
              <a:srgbClr val="000000">
                <a:alpha val="63000"/>
              </a:srgbClr>
            </a:outerShdw>
          </a:effectLst>
        </c:spPr>
        <c:marker>
          <c:symbol val="circle"/>
          <c:size val="6"/>
          <c:spPr>
            <a:solidFill>
              <a:srgbClr val="38C2AD"/>
            </a:solidFill>
            <a:ln w="9525">
              <a:solidFill>
                <a:srgbClr val="469C99"/>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bg2">
              <a:lumMod val="75000"/>
            </a:schemeClr>
          </a:solidFill>
          <a:ln>
            <a:solidFill>
              <a:schemeClr val="bg2">
                <a:lumMod val="50000"/>
              </a:schemeClr>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469C99"/>
            </a:solidFill>
            <a:round/>
          </a:ln>
          <a:effectLst>
            <a:outerShdw blurRad="57150" dist="19050" dir="5400000" algn="ctr" rotWithShape="0">
              <a:srgbClr val="000000">
                <a:alpha val="63000"/>
              </a:srgbClr>
            </a:outerShdw>
          </a:effectLst>
        </c:spPr>
        <c:marker>
          <c:symbol val="circle"/>
          <c:size val="6"/>
          <c:spPr>
            <a:solidFill>
              <a:srgbClr val="38C2AD"/>
            </a:solidFill>
            <a:ln w="9525">
              <a:solidFill>
                <a:srgbClr val="469C99"/>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bg2">
              <a:lumMod val="75000"/>
            </a:schemeClr>
          </a:solidFill>
          <a:ln>
            <a:solidFill>
              <a:schemeClr val="bg2">
                <a:lumMod val="50000"/>
              </a:schemeClr>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469C99"/>
            </a:solidFill>
            <a:round/>
          </a:ln>
          <a:effectLst>
            <a:outerShdw blurRad="57150" dist="19050" dir="5400000" algn="ctr" rotWithShape="0">
              <a:srgbClr val="000000">
                <a:alpha val="63000"/>
              </a:srgbClr>
            </a:outerShdw>
          </a:effectLst>
        </c:spPr>
        <c:marker>
          <c:symbol val="circle"/>
          <c:size val="6"/>
          <c:spPr>
            <a:solidFill>
              <a:srgbClr val="38C2AD"/>
            </a:solidFill>
            <a:ln w="9525">
              <a:solidFill>
                <a:srgbClr val="469C99"/>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bg2">
              <a:lumMod val="75000"/>
            </a:schemeClr>
          </a:solidFill>
          <a:ln>
            <a:solidFill>
              <a:schemeClr val="bg2">
                <a:lumMod val="50000"/>
              </a:schemeClr>
            </a:solidFill>
          </a:ln>
          <a:effectLst>
            <a:outerShdw blurRad="57150" dist="19050" dir="5400000" algn="ctr" rotWithShape="0">
              <a:srgbClr val="000000">
                <a:alpha val="63000"/>
              </a:srgbClr>
            </a:outerShdw>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3"/>
        <c:spPr>
          <a:ln w="34925" cap="rnd">
            <a:solidFill>
              <a:srgbClr val="469C99"/>
            </a:solidFill>
            <a:round/>
          </a:ln>
          <a:effectLst>
            <a:outerShdw blurRad="57150" dist="19050" dir="5400000" algn="ctr" rotWithShape="0">
              <a:srgbClr val="000000">
                <a:alpha val="63000"/>
              </a:srgbClr>
            </a:outerShdw>
          </a:effectLst>
        </c:spPr>
        <c:marker>
          <c:symbol val="circle"/>
          <c:size val="6"/>
          <c:spPr>
            <a:solidFill>
              <a:srgbClr val="38C2AD"/>
            </a:solidFill>
            <a:ln w="9525">
              <a:solidFill>
                <a:srgbClr val="469C99"/>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bg2">
              <a:lumMod val="75000"/>
            </a:schemeClr>
          </a:solidFill>
          <a:ln>
            <a:solidFill>
              <a:schemeClr val="bg2">
                <a:lumMod val="50000"/>
              </a:schemeClr>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469C99"/>
            </a:solidFill>
            <a:round/>
          </a:ln>
          <a:effectLst>
            <a:outerShdw blurRad="57150" dist="19050" dir="5400000" algn="ctr" rotWithShape="0">
              <a:srgbClr val="000000">
                <a:alpha val="63000"/>
              </a:srgbClr>
            </a:outerShdw>
          </a:effectLst>
        </c:spPr>
        <c:marker>
          <c:symbol val="circle"/>
          <c:size val="6"/>
          <c:spPr>
            <a:solidFill>
              <a:srgbClr val="38C2AD"/>
            </a:solidFill>
            <a:ln w="9525">
              <a:solidFill>
                <a:srgbClr val="469C99"/>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bg2">
              <a:lumMod val="90000"/>
            </a:schemeClr>
          </a:solidFill>
          <a:ln>
            <a:solidFill>
              <a:schemeClr val="bg2">
                <a:lumMod val="50000"/>
              </a:schemeClr>
            </a:solidFill>
          </a:ln>
          <a:effectLst>
            <a:outerShdw blurRad="57150" dist="19050" dir="5400000" algn="ctr" rotWithShape="0">
              <a:srgbClr val="000000">
                <a:alpha val="63000"/>
              </a:srgbClr>
            </a:outerShdw>
          </a:effectLst>
        </c:spPr>
      </c:pivotFmt>
      <c:pivotFmt>
        <c:idx val="27"/>
        <c:spPr>
          <a:solidFill>
            <a:schemeClr val="bg1">
              <a:lumMod val="65000"/>
            </a:schemeClr>
          </a:solidFill>
          <a:ln>
            <a:solidFill>
              <a:schemeClr val="bg2">
                <a:lumMod val="50000"/>
              </a:schemeClr>
            </a:solidFill>
          </a:ln>
          <a:effectLst>
            <a:outerShdw blurRad="57150" dist="19050" dir="5400000" algn="ctr" rotWithShape="0">
              <a:srgbClr val="000000">
                <a:alpha val="63000"/>
              </a:srgbClr>
            </a:outerShdw>
          </a:effectLst>
        </c:spPr>
      </c:pivotFmt>
      <c:pivotFmt>
        <c:idx val="28"/>
        <c:spPr>
          <a:solidFill>
            <a:schemeClr val="bg2">
              <a:lumMod val="50000"/>
            </a:schemeClr>
          </a:solidFill>
          <a:ln>
            <a:solidFill>
              <a:schemeClr val="bg2">
                <a:lumMod val="50000"/>
              </a:schemeClr>
            </a:solidFill>
          </a:ln>
          <a:effectLst>
            <a:outerShdw blurRad="57150" dist="19050" dir="5400000" algn="ctr" rotWithShape="0">
              <a:srgbClr val="000000">
                <a:alpha val="63000"/>
              </a:srgbClr>
            </a:outerShdw>
          </a:effectLst>
        </c:spPr>
      </c:pivotFmt>
    </c:pivotFmts>
    <c:plotArea>
      <c:layout>
        <c:manualLayout>
          <c:layoutTarget val="inner"/>
          <c:xMode val="edge"/>
          <c:yMode val="edge"/>
          <c:x val="0.12594282471447826"/>
          <c:y val="0.22356841470765521"/>
          <c:w val="0.78117727175994889"/>
          <c:h val="0.66721960387862911"/>
        </c:manualLayout>
      </c:layout>
      <c:barChart>
        <c:barDir val="col"/>
        <c:grouping val="clustered"/>
        <c:varyColors val="0"/>
        <c:ser>
          <c:idx val="1"/>
          <c:order val="1"/>
          <c:tx>
            <c:strRef>
              <c:f>'Pivots &amp; KPIs'!$C$46</c:f>
              <c:strCache>
                <c:ptCount val="1"/>
                <c:pt idx="0">
                  <c:v>CPC</c:v>
                </c:pt>
              </c:strCache>
            </c:strRef>
          </c:tx>
          <c:spPr>
            <a:solidFill>
              <a:schemeClr val="bg2">
                <a:lumMod val="75000"/>
              </a:schemeClr>
            </a:solidFill>
            <a:ln>
              <a:solidFill>
                <a:schemeClr val="bg2">
                  <a:lumMod val="50000"/>
                </a:schemeClr>
              </a:solidFill>
            </a:ln>
            <a:effectLst>
              <a:outerShdw blurRad="57150" dist="19050" dir="5400000" algn="ctr" rotWithShape="0">
                <a:srgbClr val="000000">
                  <a:alpha val="63000"/>
                </a:srgbClr>
              </a:outerShdw>
            </a:effectLst>
          </c:spPr>
          <c:invertIfNegative val="0"/>
          <c:dPt>
            <c:idx val="0"/>
            <c:invertIfNegative val="0"/>
            <c:bubble3D val="0"/>
            <c:spPr>
              <a:solidFill>
                <a:schemeClr val="bg2">
                  <a:lumMod val="50000"/>
                </a:schemeClr>
              </a:solidFill>
              <a:ln>
                <a:solidFill>
                  <a:schemeClr val="bg2">
                    <a:lumMod val="50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28C2-434A-8E31-2793220B268D}"/>
              </c:ext>
            </c:extLst>
          </c:dPt>
          <c:dPt>
            <c:idx val="2"/>
            <c:invertIfNegative val="0"/>
            <c:bubble3D val="0"/>
            <c:spPr>
              <a:solidFill>
                <a:schemeClr val="bg2">
                  <a:lumMod val="90000"/>
                </a:schemeClr>
              </a:solidFill>
              <a:ln>
                <a:solidFill>
                  <a:schemeClr val="bg2">
                    <a:lumMod val="50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0-28C2-434A-8E31-2793220B268D}"/>
              </c:ext>
            </c:extLst>
          </c:dPt>
          <c:dPt>
            <c:idx val="3"/>
            <c:invertIfNegative val="0"/>
            <c:bubble3D val="0"/>
            <c:spPr>
              <a:solidFill>
                <a:schemeClr val="bg1">
                  <a:lumMod val="65000"/>
                </a:schemeClr>
              </a:solidFill>
              <a:ln>
                <a:solidFill>
                  <a:schemeClr val="bg2">
                    <a:lumMod val="50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8C2-434A-8E31-2793220B268D}"/>
              </c:ext>
            </c:extLst>
          </c:dPt>
          <c:dLbls>
            <c:spPr>
              <a:solidFill>
                <a:srgbClr val="FFFF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&amp; KPIs'!$A$47:$A$51</c:f>
              <c:strCache>
                <c:ptCount val="4"/>
                <c:pt idx="0">
                  <c:v>Direct Mail</c:v>
                </c:pt>
                <c:pt idx="1">
                  <c:v>Email</c:v>
                </c:pt>
                <c:pt idx="2">
                  <c:v>Search Engine</c:v>
                </c:pt>
                <c:pt idx="3">
                  <c:v>Social Media</c:v>
                </c:pt>
              </c:strCache>
            </c:strRef>
          </c:cat>
          <c:val>
            <c:numRef>
              <c:f>'Pivots &amp; KPIs'!$C$47:$C$51</c:f>
              <c:numCache>
                <c:formatCode>"$"#,##0.00</c:formatCode>
                <c:ptCount val="4"/>
                <c:pt idx="0">
                  <c:v>8.3925000000000018</c:v>
                </c:pt>
                <c:pt idx="1">
                  <c:v>5.625</c:v>
                </c:pt>
                <c:pt idx="2">
                  <c:v>5.4536000000000016</c:v>
                </c:pt>
                <c:pt idx="3">
                  <c:v>7.3651999999999989</c:v>
                </c:pt>
              </c:numCache>
            </c:numRef>
          </c:val>
          <c:extLst>
            <c:ext xmlns:c16="http://schemas.microsoft.com/office/drawing/2014/chart" uri="{C3380CC4-5D6E-409C-BE32-E72D297353CC}">
              <c16:uniqueId val="{00000000-ED3B-4467-80E9-EA97FB98563A}"/>
            </c:ext>
          </c:extLst>
        </c:ser>
        <c:dLbls>
          <c:showLegendKey val="0"/>
          <c:showVal val="0"/>
          <c:showCatName val="0"/>
          <c:showSerName val="0"/>
          <c:showPercent val="0"/>
          <c:showBubbleSize val="0"/>
        </c:dLbls>
        <c:gapWidth val="150"/>
        <c:axId val="10365960"/>
        <c:axId val="2126300167"/>
      </c:barChart>
      <c:lineChart>
        <c:grouping val="standard"/>
        <c:varyColors val="0"/>
        <c:ser>
          <c:idx val="0"/>
          <c:order val="0"/>
          <c:tx>
            <c:strRef>
              <c:f>'Pivots &amp; KPIs'!$B$46</c:f>
              <c:strCache>
                <c:ptCount val="1"/>
                <c:pt idx="0">
                  <c:v>CTR</c:v>
                </c:pt>
              </c:strCache>
            </c:strRef>
          </c:tx>
          <c:spPr>
            <a:ln w="34925" cap="rnd">
              <a:solidFill>
                <a:srgbClr val="469C99"/>
              </a:solidFill>
              <a:round/>
            </a:ln>
            <a:effectLst>
              <a:outerShdw blurRad="57150" dist="19050" dir="5400000" algn="ctr" rotWithShape="0">
                <a:srgbClr val="000000">
                  <a:alpha val="63000"/>
                </a:srgbClr>
              </a:outerShdw>
            </a:effectLst>
          </c:spPr>
          <c:marker>
            <c:symbol val="circle"/>
            <c:size val="6"/>
            <c:spPr>
              <a:solidFill>
                <a:srgbClr val="38C2AD"/>
              </a:solidFill>
              <a:ln w="9525">
                <a:solidFill>
                  <a:srgbClr val="469C99"/>
                </a:solidFill>
                <a:round/>
              </a:ln>
              <a:effectLst>
                <a:outerShdw blurRad="57150" dist="19050" dir="5400000" algn="ctr" rotWithShape="0">
                  <a:srgbClr val="000000">
                    <a:alpha val="63000"/>
                  </a:srgbClr>
                </a:outerShdw>
              </a:effectLst>
            </c:spPr>
          </c:marker>
          <c:cat>
            <c:strRef>
              <c:f>'Pivots &amp; KPIs'!$A$47:$A$51</c:f>
              <c:strCache>
                <c:ptCount val="4"/>
                <c:pt idx="0">
                  <c:v>Direct Mail</c:v>
                </c:pt>
                <c:pt idx="1">
                  <c:v>Email</c:v>
                </c:pt>
                <c:pt idx="2">
                  <c:v>Search Engine</c:v>
                </c:pt>
                <c:pt idx="3">
                  <c:v>Social Media</c:v>
                </c:pt>
              </c:strCache>
            </c:strRef>
          </c:cat>
          <c:val>
            <c:numRef>
              <c:f>'Pivots &amp; KPIs'!$B$47:$B$51</c:f>
              <c:numCache>
                <c:formatCode>0%</c:formatCode>
                <c:ptCount val="4"/>
                <c:pt idx="0">
                  <c:v>0.132525</c:v>
                </c:pt>
                <c:pt idx="1">
                  <c:v>0.14615666666666668</c:v>
                </c:pt>
                <c:pt idx="2">
                  <c:v>0.16439999999999999</c:v>
                </c:pt>
                <c:pt idx="3">
                  <c:v>0.10874400000000001</c:v>
                </c:pt>
              </c:numCache>
            </c:numRef>
          </c:val>
          <c:smooth val="0"/>
          <c:extLst>
            <c:ext xmlns:c16="http://schemas.microsoft.com/office/drawing/2014/chart" uri="{C3380CC4-5D6E-409C-BE32-E72D297353CC}">
              <c16:uniqueId val="{00000001-ED3B-4467-80E9-EA97FB98563A}"/>
            </c:ext>
          </c:extLst>
        </c:ser>
        <c:dLbls>
          <c:showLegendKey val="0"/>
          <c:showVal val="0"/>
          <c:showCatName val="0"/>
          <c:showSerName val="0"/>
          <c:showPercent val="0"/>
          <c:showBubbleSize val="0"/>
        </c:dLbls>
        <c:marker val="1"/>
        <c:smooth val="0"/>
        <c:axId val="922229872"/>
        <c:axId val="922221232"/>
      </c:lineChart>
      <c:catAx>
        <c:axId val="1036596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26300167"/>
        <c:crosses val="autoZero"/>
        <c:auto val="1"/>
        <c:lblAlgn val="ctr"/>
        <c:lblOffset val="100"/>
        <c:noMultiLvlLbl val="0"/>
      </c:catAx>
      <c:valAx>
        <c:axId val="2126300167"/>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65960"/>
        <c:crosses val="autoZero"/>
        <c:crossBetween val="between"/>
      </c:valAx>
      <c:valAx>
        <c:axId val="922221232"/>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229872"/>
        <c:crosses val="max"/>
        <c:crossBetween val="between"/>
      </c:valAx>
      <c:catAx>
        <c:axId val="922229872"/>
        <c:scaling>
          <c:orientation val="minMax"/>
        </c:scaling>
        <c:delete val="1"/>
        <c:axPos val="b"/>
        <c:numFmt formatCode="General" sourceLinked="1"/>
        <c:majorTickMark val="none"/>
        <c:minorTickMark val="none"/>
        <c:tickLblPos val="nextTo"/>
        <c:crossAx val="922221232"/>
        <c:crosses val="autoZero"/>
        <c:auto val="1"/>
        <c:lblAlgn val="ctr"/>
        <c:lblOffset val="100"/>
        <c:noMultiLvlLbl val="0"/>
      </c:catAx>
      <c:spPr>
        <a:noFill/>
        <a:ln>
          <a:noFill/>
        </a:ln>
        <a:effectLst/>
      </c:spPr>
    </c:plotArea>
    <c:legend>
      <c:legendPos val="b"/>
      <c:layout>
        <c:manualLayout>
          <c:xMode val="edge"/>
          <c:yMode val="edge"/>
          <c:x val="0.31400663958101122"/>
          <c:y val="0.13064277007215103"/>
          <c:w val="0.34060608640136197"/>
          <c:h val="0.1027404451155934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'Pivots &amp; KPIs'!$E$38</c:f>
              <c:strCache>
                <c:ptCount val="1"/>
                <c:pt idx="0">
                  <c:v>Overall ROI</c:v>
                </c:pt>
              </c:strCache>
            </c:strRef>
          </c:tx>
          <c:spPr>
            <a:solidFill>
              <a:schemeClr val="accent1"/>
            </a:solidFill>
            <a:ln>
              <a:solidFill>
                <a:srgbClr val="A7FCF5"/>
              </a:solidFill>
              <a:prstDash val="solid"/>
            </a:ln>
            <a:effectLst/>
          </c:spPr>
          <c:invertIfNegative val="0"/>
          <c:dPt>
            <c:idx val="1"/>
            <c:invertIfNegative val="0"/>
            <c:bubble3D val="0"/>
            <c:spPr>
              <a:solidFill>
                <a:srgbClr val="22C2D4"/>
              </a:solidFill>
              <a:ln>
                <a:solidFill>
                  <a:srgbClr val="A7FCF5"/>
                </a:solidFill>
                <a:prstDash val="solid"/>
              </a:ln>
              <a:effectLst/>
            </c:spPr>
            <c:extLst>
              <c:ext xmlns:c16="http://schemas.microsoft.com/office/drawing/2014/chart" uri="{C3380CC4-5D6E-409C-BE32-E72D297353CC}">
                <c16:uniqueId val="{00000001-C9E3-4478-A432-76653E83930C}"/>
              </c:ext>
            </c:extLst>
          </c:dPt>
          <c:dPt>
            <c:idx val="2"/>
            <c:invertIfNegative val="0"/>
            <c:bubble3D val="0"/>
            <c:spPr>
              <a:solidFill>
                <a:srgbClr val="8BDCE0"/>
              </a:solidFill>
              <a:ln>
                <a:solidFill>
                  <a:srgbClr val="A7FCF5"/>
                </a:solidFill>
                <a:prstDash val="solid"/>
              </a:ln>
              <a:effectLst/>
            </c:spPr>
            <c:extLst>
              <c:ext xmlns:c16="http://schemas.microsoft.com/office/drawing/2014/chart" uri="{C3380CC4-5D6E-409C-BE32-E72D297353CC}">
                <c16:uniqueId val="{00000003-C9E3-4478-A432-76653E83930C}"/>
              </c:ext>
            </c:extLst>
          </c:dPt>
          <c:dPt>
            <c:idx val="3"/>
            <c:invertIfNegative val="0"/>
            <c:bubble3D val="0"/>
            <c:spPr>
              <a:solidFill>
                <a:srgbClr val="0E7F9E"/>
              </a:solidFill>
              <a:ln>
                <a:solidFill>
                  <a:srgbClr val="A7FCF5"/>
                </a:solidFill>
                <a:prstDash val="solid"/>
              </a:ln>
              <a:effectLst/>
            </c:spPr>
            <c:extLst>
              <c:ext xmlns:c16="http://schemas.microsoft.com/office/drawing/2014/chart" uri="{C3380CC4-5D6E-409C-BE32-E72D297353CC}">
                <c16:uniqueId val="{00000005-C9E3-4478-A432-76653E83930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&amp; KPIs'!$D$39:$D$42</c:f>
              <c:strCache>
                <c:ptCount val="4"/>
                <c:pt idx="0">
                  <c:v>East</c:v>
                </c:pt>
                <c:pt idx="1">
                  <c:v>North</c:v>
                </c:pt>
                <c:pt idx="2">
                  <c:v>South</c:v>
                </c:pt>
                <c:pt idx="3">
                  <c:v>West</c:v>
                </c:pt>
              </c:strCache>
            </c:strRef>
          </c:cat>
          <c:val>
            <c:numRef>
              <c:f>'Pivots &amp; KPIs'!$E$39:$E$42</c:f>
              <c:numCache>
                <c:formatCode>0%</c:formatCode>
                <c:ptCount val="4"/>
                <c:pt idx="0">
                  <c:v>3.4177610586917515</c:v>
                </c:pt>
                <c:pt idx="1">
                  <c:v>2.9728018832007148</c:v>
                </c:pt>
                <c:pt idx="2">
                  <c:v>2.3710728075314265</c:v>
                </c:pt>
                <c:pt idx="3">
                  <c:v>3.0063051118166952</c:v>
                </c:pt>
              </c:numCache>
            </c:numRef>
          </c:val>
          <c:extLst>
            <c:ext xmlns:c16="http://schemas.microsoft.com/office/drawing/2014/chart" uri="{C3380CC4-5D6E-409C-BE32-E72D297353CC}">
              <c16:uniqueId val="{00000006-C9E3-4478-A432-76653E83930C}"/>
            </c:ext>
          </c:extLst>
        </c:ser>
        <c:dLbls>
          <c:showLegendKey val="0"/>
          <c:showVal val="0"/>
          <c:showCatName val="0"/>
          <c:showSerName val="0"/>
          <c:showPercent val="0"/>
          <c:showBubbleSize val="0"/>
        </c:dLbls>
        <c:gapWidth val="151"/>
        <c:overlap val="-27"/>
        <c:axId val="1903032328"/>
        <c:axId val="1256390664"/>
      </c:barChart>
      <c:catAx>
        <c:axId val="1903032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56390664"/>
        <c:crosses val="autoZero"/>
        <c:auto val="1"/>
        <c:lblAlgn val="ctr"/>
        <c:lblOffset val="100"/>
        <c:noMultiLvlLbl val="0"/>
      </c:catAx>
      <c:valAx>
        <c:axId val="125639066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30323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504682667380123"/>
          <c:y val="9.8900462962962968E-2"/>
          <c:w val="0.89495317332619884"/>
          <c:h val="0.79624845071449413"/>
        </c:manualLayout>
      </c:layout>
      <c:barChart>
        <c:barDir val="col"/>
        <c:grouping val="clustered"/>
        <c:varyColors val="0"/>
        <c:ser>
          <c:idx val="0"/>
          <c:order val="0"/>
          <c:tx>
            <c:strRef>
              <c:f>'Pivots &amp; KPIs'!$E$55</c:f>
              <c:strCache>
                <c:ptCount val="1"/>
                <c:pt idx="0">
                  <c:v>Revenue/$ Spent</c:v>
                </c:pt>
              </c:strCache>
            </c:strRef>
          </c:tx>
          <c:spPr>
            <a:solidFill>
              <a:srgbClr val="17E3DC"/>
            </a:solidFill>
            <a:ln>
              <a:solidFill>
                <a:srgbClr val="A7FCF5"/>
              </a:solidFill>
              <a:prstDash val="solid"/>
            </a:ln>
            <a:effectLst/>
          </c:spPr>
          <c:invertIfNegative val="0"/>
          <c:dPt>
            <c:idx val="0"/>
            <c:invertIfNegative val="0"/>
            <c:bubble3D val="0"/>
            <c:spPr>
              <a:solidFill>
                <a:srgbClr val="469C99"/>
              </a:solidFill>
              <a:ln>
                <a:solidFill>
                  <a:srgbClr val="A7FCF5"/>
                </a:solidFill>
                <a:prstDash val="solid"/>
              </a:ln>
              <a:effectLst/>
            </c:spPr>
            <c:extLst>
              <c:ext xmlns:c16="http://schemas.microsoft.com/office/drawing/2014/chart" uri="{C3380CC4-5D6E-409C-BE32-E72D297353CC}">
                <c16:uniqueId val="{00000001-175C-4765-AD45-881145227222}"/>
              </c:ext>
            </c:extLst>
          </c:dPt>
          <c:dPt>
            <c:idx val="2"/>
            <c:invertIfNegative val="0"/>
            <c:bubble3D val="0"/>
            <c:spPr>
              <a:solidFill>
                <a:srgbClr val="A7FCF5"/>
              </a:solidFill>
              <a:ln>
                <a:solidFill>
                  <a:srgbClr val="A7FCF5"/>
                </a:solidFill>
                <a:prstDash val="solid"/>
              </a:ln>
              <a:effectLst/>
            </c:spPr>
            <c:extLst>
              <c:ext xmlns:c16="http://schemas.microsoft.com/office/drawing/2014/chart" uri="{C3380CC4-5D6E-409C-BE32-E72D297353CC}">
                <c16:uniqueId val="{00000003-175C-4765-AD45-881145227222}"/>
              </c:ext>
            </c:extLst>
          </c:dPt>
          <c:dPt>
            <c:idx val="3"/>
            <c:invertIfNegative val="0"/>
            <c:bubble3D val="0"/>
            <c:spPr>
              <a:solidFill>
                <a:srgbClr val="38C2AD"/>
              </a:solidFill>
              <a:ln>
                <a:solidFill>
                  <a:srgbClr val="A7FCF5"/>
                </a:solidFill>
                <a:prstDash val="solid"/>
              </a:ln>
              <a:effectLst/>
            </c:spPr>
            <c:extLst>
              <c:ext xmlns:c16="http://schemas.microsoft.com/office/drawing/2014/chart" uri="{C3380CC4-5D6E-409C-BE32-E72D297353CC}">
                <c16:uniqueId val="{00000005-175C-4765-AD45-88114522722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&amp; KPIs'!$D$56:$D$59</c:f>
              <c:strCache>
                <c:ptCount val="4"/>
                <c:pt idx="0">
                  <c:v>East</c:v>
                </c:pt>
                <c:pt idx="1">
                  <c:v>North</c:v>
                </c:pt>
                <c:pt idx="2">
                  <c:v>South</c:v>
                </c:pt>
                <c:pt idx="3">
                  <c:v>West</c:v>
                </c:pt>
              </c:strCache>
            </c:strRef>
          </c:cat>
          <c:val>
            <c:numRef>
              <c:f>'Pivots &amp; KPIs'!$E$56:$E$59</c:f>
              <c:numCache>
                <c:formatCode>"$"#,##0.00</c:formatCode>
                <c:ptCount val="4"/>
                <c:pt idx="0">
                  <c:v>4.4177610586917506</c:v>
                </c:pt>
                <c:pt idx="1">
                  <c:v>3.9728018832007148</c:v>
                </c:pt>
                <c:pt idx="2">
                  <c:v>3.3710728075314265</c:v>
                </c:pt>
                <c:pt idx="3">
                  <c:v>4.0063051118166957</c:v>
                </c:pt>
              </c:numCache>
            </c:numRef>
          </c:val>
          <c:extLst>
            <c:ext xmlns:c16="http://schemas.microsoft.com/office/drawing/2014/chart" uri="{C3380CC4-5D6E-409C-BE32-E72D297353CC}">
              <c16:uniqueId val="{00000006-175C-4765-AD45-881145227222}"/>
            </c:ext>
          </c:extLst>
        </c:ser>
        <c:dLbls>
          <c:dLblPos val="inEnd"/>
          <c:showLegendKey val="0"/>
          <c:showVal val="1"/>
          <c:showCatName val="0"/>
          <c:showSerName val="0"/>
          <c:showPercent val="0"/>
          <c:showBubbleSize val="0"/>
        </c:dLbls>
        <c:gapWidth val="170"/>
        <c:overlap val="-27"/>
        <c:axId val="522461072"/>
        <c:axId val="522457232"/>
      </c:barChart>
      <c:catAx>
        <c:axId val="522461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22457232"/>
        <c:crosses val="autoZero"/>
        <c:auto val="1"/>
        <c:lblAlgn val="ctr"/>
        <c:lblOffset val="100"/>
        <c:noMultiLvlLbl val="0"/>
      </c:catAx>
      <c:valAx>
        <c:axId val="522457232"/>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461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2922762309265377E-3"/>
          <c:y val="0.1509837962962963"/>
          <c:w val="0.99370772376907346"/>
          <c:h val="0.74416511738116065"/>
        </c:manualLayout>
      </c:layout>
      <c:barChart>
        <c:barDir val="col"/>
        <c:grouping val="clustered"/>
        <c:varyColors val="0"/>
        <c:ser>
          <c:idx val="0"/>
          <c:order val="0"/>
          <c:tx>
            <c:strRef>
              <c:f>'Pivots &amp; KPIs'!$E$55</c:f>
              <c:strCache>
                <c:ptCount val="1"/>
                <c:pt idx="0">
                  <c:v>Revenue/$ Spent</c:v>
                </c:pt>
              </c:strCache>
            </c:strRef>
          </c:tx>
          <c:spPr>
            <a:solidFill>
              <a:srgbClr val="17E3DC"/>
            </a:solidFill>
            <a:ln>
              <a:solidFill>
                <a:srgbClr val="A7FCF5"/>
              </a:solidFill>
              <a:prstDash val="solid"/>
            </a:ln>
            <a:effectLst/>
          </c:spPr>
          <c:invertIfNegative val="0"/>
          <c:dPt>
            <c:idx val="0"/>
            <c:invertIfNegative val="0"/>
            <c:bubble3D val="0"/>
            <c:spPr>
              <a:gradFill flip="none" rotWithShape="1">
                <a:gsLst>
                  <a:gs pos="0">
                    <a:srgbClr val="469C99">
                      <a:shade val="30000"/>
                      <a:satMod val="115000"/>
                    </a:srgbClr>
                  </a:gs>
                  <a:gs pos="50000">
                    <a:srgbClr val="469C99">
                      <a:shade val="67500"/>
                      <a:satMod val="115000"/>
                    </a:srgbClr>
                  </a:gs>
                  <a:gs pos="100000">
                    <a:srgbClr val="469C99">
                      <a:shade val="100000"/>
                      <a:satMod val="115000"/>
                    </a:srgbClr>
                  </a:gs>
                </a:gsLst>
                <a:lin ang="0" scaled="1"/>
                <a:tileRect/>
              </a:gradFill>
              <a:ln>
                <a:solidFill>
                  <a:srgbClr val="A7FCF5"/>
                </a:solidFill>
                <a:prstDash val="solid"/>
              </a:ln>
              <a:effectLst/>
            </c:spPr>
            <c:extLst>
              <c:ext xmlns:c16="http://schemas.microsoft.com/office/drawing/2014/chart" uri="{C3380CC4-5D6E-409C-BE32-E72D297353CC}">
                <c16:uniqueId val="{00000001-E3B7-4DA2-8ACD-E24FDE6756A8}"/>
              </c:ext>
            </c:extLst>
          </c:dPt>
          <c:dPt>
            <c:idx val="1"/>
            <c:invertIfNegative val="0"/>
            <c:bubble3D val="0"/>
            <c:spPr>
              <a:gradFill flip="none" rotWithShape="1">
                <a:gsLst>
                  <a:gs pos="0">
                    <a:srgbClr val="8BDCE0">
                      <a:shade val="30000"/>
                      <a:satMod val="115000"/>
                    </a:srgbClr>
                  </a:gs>
                  <a:gs pos="50000">
                    <a:srgbClr val="8BDCE0">
                      <a:shade val="67500"/>
                      <a:satMod val="115000"/>
                    </a:srgbClr>
                  </a:gs>
                  <a:gs pos="100000">
                    <a:srgbClr val="8BDCE0">
                      <a:shade val="100000"/>
                      <a:satMod val="115000"/>
                    </a:srgbClr>
                  </a:gs>
                </a:gsLst>
                <a:lin ang="2700000" scaled="1"/>
                <a:tileRect/>
              </a:gradFill>
              <a:ln>
                <a:solidFill>
                  <a:srgbClr val="A7FCF5"/>
                </a:solidFill>
                <a:prstDash val="solid"/>
              </a:ln>
              <a:effectLst/>
            </c:spPr>
            <c:extLst>
              <c:ext xmlns:c16="http://schemas.microsoft.com/office/drawing/2014/chart" uri="{C3380CC4-5D6E-409C-BE32-E72D297353CC}">
                <c16:uniqueId val="{00000003-E3B7-4DA2-8ACD-E24FDE6756A8}"/>
              </c:ext>
            </c:extLst>
          </c:dPt>
          <c:dPt>
            <c:idx val="2"/>
            <c:invertIfNegative val="0"/>
            <c:bubble3D val="0"/>
            <c:spPr>
              <a:gradFill flip="none" rotWithShape="1">
                <a:gsLst>
                  <a:gs pos="0">
                    <a:srgbClr val="A7FCF5">
                      <a:shade val="30000"/>
                      <a:satMod val="115000"/>
                    </a:srgbClr>
                  </a:gs>
                  <a:gs pos="50000">
                    <a:srgbClr val="A7FCF5">
                      <a:shade val="67500"/>
                      <a:satMod val="115000"/>
                    </a:srgbClr>
                  </a:gs>
                  <a:gs pos="100000">
                    <a:srgbClr val="A7FCF5">
                      <a:shade val="100000"/>
                      <a:satMod val="115000"/>
                    </a:srgbClr>
                  </a:gs>
                </a:gsLst>
                <a:lin ang="0" scaled="1"/>
                <a:tileRect/>
              </a:gradFill>
              <a:ln>
                <a:solidFill>
                  <a:srgbClr val="A7FCF5"/>
                </a:solidFill>
                <a:prstDash val="solid"/>
              </a:ln>
              <a:effectLst/>
            </c:spPr>
            <c:extLst>
              <c:ext xmlns:c16="http://schemas.microsoft.com/office/drawing/2014/chart" uri="{C3380CC4-5D6E-409C-BE32-E72D297353CC}">
                <c16:uniqueId val="{00000005-E3B7-4DA2-8ACD-E24FDE6756A8}"/>
              </c:ext>
            </c:extLst>
          </c:dPt>
          <c:dPt>
            <c:idx val="3"/>
            <c:invertIfNegative val="0"/>
            <c:bubble3D val="0"/>
            <c:spPr>
              <a:gradFill flip="none" rotWithShape="1">
                <a:gsLst>
                  <a:gs pos="0">
                    <a:srgbClr val="38C2AD">
                      <a:shade val="30000"/>
                      <a:satMod val="115000"/>
                    </a:srgbClr>
                  </a:gs>
                  <a:gs pos="50000">
                    <a:srgbClr val="38C2AD">
                      <a:shade val="67500"/>
                      <a:satMod val="115000"/>
                    </a:srgbClr>
                  </a:gs>
                  <a:gs pos="100000">
                    <a:srgbClr val="38C2AD">
                      <a:shade val="100000"/>
                      <a:satMod val="115000"/>
                    </a:srgbClr>
                  </a:gs>
                </a:gsLst>
                <a:lin ang="0" scaled="1"/>
                <a:tileRect/>
              </a:gradFill>
              <a:ln>
                <a:solidFill>
                  <a:srgbClr val="A7FCF5"/>
                </a:solidFill>
                <a:prstDash val="solid"/>
              </a:ln>
              <a:effectLst/>
            </c:spPr>
            <c:extLst>
              <c:ext xmlns:c16="http://schemas.microsoft.com/office/drawing/2014/chart" uri="{C3380CC4-5D6E-409C-BE32-E72D297353CC}">
                <c16:uniqueId val="{00000007-E3B7-4DA2-8ACD-E24FDE6756A8}"/>
              </c:ext>
            </c:extLst>
          </c:dPt>
          <c:dLbls>
            <c:spPr>
              <a:solidFill>
                <a:srgbClr val="FFFF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&amp; KPIs'!$D$56:$D$59</c:f>
              <c:strCache>
                <c:ptCount val="4"/>
                <c:pt idx="0">
                  <c:v>East</c:v>
                </c:pt>
                <c:pt idx="1">
                  <c:v>North</c:v>
                </c:pt>
                <c:pt idx="2">
                  <c:v>South</c:v>
                </c:pt>
                <c:pt idx="3">
                  <c:v>West</c:v>
                </c:pt>
              </c:strCache>
            </c:strRef>
          </c:cat>
          <c:val>
            <c:numRef>
              <c:f>'Pivots &amp; KPIs'!$E$56:$E$59</c:f>
              <c:numCache>
                <c:formatCode>"$"#,##0.00</c:formatCode>
                <c:ptCount val="4"/>
                <c:pt idx="0">
                  <c:v>4.4177610586917506</c:v>
                </c:pt>
                <c:pt idx="1">
                  <c:v>3.9728018832007148</c:v>
                </c:pt>
                <c:pt idx="2">
                  <c:v>3.3710728075314265</c:v>
                </c:pt>
                <c:pt idx="3">
                  <c:v>4.0063051118166957</c:v>
                </c:pt>
              </c:numCache>
            </c:numRef>
          </c:val>
          <c:extLst>
            <c:ext xmlns:c16="http://schemas.microsoft.com/office/drawing/2014/chart" uri="{C3380CC4-5D6E-409C-BE32-E72D297353CC}">
              <c16:uniqueId val="{00000008-E3B7-4DA2-8ACD-E24FDE6756A8}"/>
            </c:ext>
          </c:extLst>
        </c:ser>
        <c:dLbls>
          <c:dLblPos val="outEnd"/>
          <c:showLegendKey val="0"/>
          <c:showVal val="1"/>
          <c:showCatName val="0"/>
          <c:showSerName val="0"/>
          <c:showPercent val="0"/>
          <c:showBubbleSize val="0"/>
        </c:dLbls>
        <c:gapWidth val="150"/>
        <c:overlap val="-25"/>
        <c:axId val="522461072"/>
        <c:axId val="522457232"/>
      </c:barChart>
      <c:catAx>
        <c:axId val="522461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22457232"/>
        <c:crosses val="autoZero"/>
        <c:auto val="1"/>
        <c:lblAlgn val="ctr"/>
        <c:lblOffset val="100"/>
        <c:noMultiLvlLbl val="0"/>
      </c:catAx>
      <c:valAx>
        <c:axId val="522457232"/>
        <c:scaling>
          <c:orientation val="minMax"/>
        </c:scaling>
        <c:delete val="1"/>
        <c:axPos val="l"/>
        <c:numFmt formatCode="&quot;$&quot;#,##0.00" sourceLinked="1"/>
        <c:majorTickMark val="none"/>
        <c:minorTickMark val="none"/>
        <c:tickLblPos val="nextTo"/>
        <c:crossAx val="522461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[Marketing-performance-Analysis.xlsx]Pivots &amp; KPIs!PivotTable5</c:name>
    <c:fmtId val="9"/>
  </c:pivotSource>
  <c:chart>
    <c:title>
      <c:layout>
        <c:manualLayout>
          <c:xMode val="edge"/>
          <c:yMode val="edge"/>
          <c:x val="0.39821625469765082"/>
          <c:y val="1.20845921450151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pivotFmt>
      <c:pivotFmt>
        <c:idx val="11"/>
        <c:spPr>
          <a:solidFill>
            <a:schemeClr val="accent6"/>
          </a:solidFill>
          <a:ln>
            <a:noFill/>
          </a:ln>
          <a:effectLst/>
        </c:spPr>
        <c:marker>
          <c:symbol val="none"/>
        </c:marker>
      </c:pivotFmt>
      <c:pivotFmt>
        <c:idx val="1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13925377971822"/>
          <c:y val="0.21168261562998406"/>
          <c:w val="0.82834823613150055"/>
          <c:h val="0.66075205013248939"/>
        </c:manualLayout>
      </c:layout>
      <c:barChart>
        <c:barDir val="col"/>
        <c:grouping val="clustered"/>
        <c:varyColors val="0"/>
        <c:ser>
          <c:idx val="0"/>
          <c:order val="0"/>
          <c:tx>
            <c:strRef>
              <c:f>'Pivots &amp; KPIs'!$B$14</c:f>
              <c:strCache>
                <c:ptCount val="1"/>
                <c:pt idx="0">
                  <c:v>Spend</c:v>
                </c:pt>
              </c:strCache>
            </c:strRef>
          </c:tx>
          <c:spPr>
            <a:solidFill>
              <a:schemeClr val="accent6">
                <a:shade val="76000"/>
              </a:schemeClr>
            </a:solidFill>
            <a:ln>
              <a:noFill/>
            </a:ln>
            <a:effectLst/>
          </c:spPr>
          <c:invertIfNegative val="0"/>
          <c:cat>
            <c:strRef>
              <c:f>'Pivots &amp; KPIs'!$A$15:$A$19</c:f>
              <c:strCache>
                <c:ptCount val="4"/>
                <c:pt idx="0">
                  <c:v>Direct Mail</c:v>
                </c:pt>
                <c:pt idx="1">
                  <c:v>Email</c:v>
                </c:pt>
                <c:pt idx="2">
                  <c:v>Search Engine</c:v>
                </c:pt>
                <c:pt idx="3">
                  <c:v>Social Media</c:v>
                </c:pt>
              </c:strCache>
            </c:strRef>
          </c:cat>
          <c:val>
            <c:numRef>
              <c:f>'Pivots &amp; KPIs'!$B$15:$B$19</c:f>
              <c:numCache>
                <c:formatCode>0</c:formatCode>
                <c:ptCount val="4"/>
                <c:pt idx="0">
                  <c:v>55923.02</c:v>
                </c:pt>
                <c:pt idx="1">
                  <c:v>79171.51999999999</c:v>
                </c:pt>
                <c:pt idx="2">
                  <c:v>57352.719999999987</c:v>
                </c:pt>
                <c:pt idx="3">
                  <c:v>68719.06</c:v>
                </c:pt>
              </c:numCache>
            </c:numRef>
          </c:val>
          <c:extLst>
            <c:ext xmlns:c16="http://schemas.microsoft.com/office/drawing/2014/chart" uri="{C3380CC4-5D6E-409C-BE32-E72D297353CC}">
              <c16:uniqueId val="{00000000-93C3-4C75-9B36-942720A83625}"/>
            </c:ext>
          </c:extLst>
        </c:ser>
        <c:ser>
          <c:idx val="1"/>
          <c:order val="1"/>
          <c:tx>
            <c:strRef>
              <c:f>'Pivots &amp; KPIs'!$C$14</c:f>
              <c:strCache>
                <c:ptCount val="1"/>
                <c:pt idx="0">
                  <c:v>Revenue</c:v>
                </c:pt>
              </c:strCache>
            </c:strRef>
          </c:tx>
          <c:spPr>
            <a:solidFill>
              <a:schemeClr val="accent6">
                <a:tint val="77000"/>
              </a:schemeClr>
            </a:solidFill>
            <a:ln>
              <a:noFill/>
            </a:ln>
            <a:effectLst/>
          </c:spPr>
          <c:invertIfNegative val="0"/>
          <c:cat>
            <c:strRef>
              <c:f>'Pivots &amp; KPIs'!$A$15:$A$19</c:f>
              <c:strCache>
                <c:ptCount val="4"/>
                <c:pt idx="0">
                  <c:v>Direct Mail</c:v>
                </c:pt>
                <c:pt idx="1">
                  <c:v>Email</c:v>
                </c:pt>
                <c:pt idx="2">
                  <c:v>Search Engine</c:v>
                </c:pt>
                <c:pt idx="3">
                  <c:v>Social Media</c:v>
                </c:pt>
              </c:strCache>
            </c:strRef>
          </c:cat>
          <c:val>
            <c:numRef>
              <c:f>'Pivots &amp; KPIs'!$C$15:$C$19</c:f>
              <c:numCache>
                <c:formatCode>0</c:formatCode>
                <c:ptCount val="4"/>
                <c:pt idx="0">
                  <c:v>175503.28000000003</c:v>
                </c:pt>
                <c:pt idx="1">
                  <c:v>302491.69999999995</c:v>
                </c:pt>
                <c:pt idx="2">
                  <c:v>269164.12999999995</c:v>
                </c:pt>
                <c:pt idx="3">
                  <c:v>295320.58</c:v>
                </c:pt>
              </c:numCache>
            </c:numRef>
          </c:val>
          <c:extLst>
            <c:ext xmlns:c16="http://schemas.microsoft.com/office/drawing/2014/chart" uri="{C3380CC4-5D6E-409C-BE32-E72D297353CC}">
              <c16:uniqueId val="{00000001-93C3-4C75-9B36-942720A83625}"/>
            </c:ext>
          </c:extLst>
        </c:ser>
        <c:dLbls>
          <c:showLegendKey val="0"/>
          <c:showVal val="0"/>
          <c:showCatName val="0"/>
          <c:showSerName val="0"/>
          <c:showPercent val="0"/>
          <c:showBubbleSize val="0"/>
        </c:dLbls>
        <c:gapWidth val="69"/>
        <c:axId val="1985340936"/>
        <c:axId val="1997083656"/>
      </c:barChart>
      <c:catAx>
        <c:axId val="1985340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97083656"/>
        <c:crosses val="autoZero"/>
        <c:auto val="1"/>
        <c:lblAlgn val="ctr"/>
        <c:lblOffset val="100"/>
        <c:noMultiLvlLbl val="0"/>
      </c:catAx>
      <c:valAx>
        <c:axId val="199708365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5340936"/>
        <c:crosses val="autoZero"/>
        <c:crossBetween val="between"/>
      </c:valAx>
      <c:spPr>
        <a:noFill/>
        <a:ln>
          <a:noFill/>
        </a:ln>
        <a:effectLst/>
      </c:spPr>
    </c:plotArea>
    <c:legend>
      <c:legendPos val="b"/>
      <c:layout>
        <c:manualLayout>
          <c:xMode val="edge"/>
          <c:yMode val="edge"/>
          <c:x val="0.34435214025432914"/>
          <c:y val="0.11122707515252872"/>
          <c:w val="0.2851456279829428"/>
          <c:h val="6.728515992917154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rgbClr val="FFFFFF"/>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withinLinear" id="19">
  <a:schemeClr val="accent6"/>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4.xml><?xml version="1.0" encoding="utf-8"?>
<cs:colorStyle xmlns:cs="http://schemas.microsoft.com/office/drawing/2012/chartStyle" xmlns:a="http://schemas.openxmlformats.org/drawingml/2006/main" meth="withinLinear" id="19">
  <a:schemeClr val="accent6"/>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withinLinear" id="19">
  <a:schemeClr val="accent6"/>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3.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6" Type="http://schemas.openxmlformats.org/officeDocument/2006/relationships/chart" Target="../charts/chart16.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9.xml"/><Relationship Id="rId2" Type="http://schemas.openxmlformats.org/officeDocument/2006/relationships/chart" Target="../charts/chart18.xml"/><Relationship Id="rId1" Type="http://schemas.openxmlformats.org/officeDocument/2006/relationships/chart" Target="../charts/chart17.xml"/></Relationships>
</file>

<file path=xl/drawings/_rels/drawing4.xml.rels><?xml version="1.0" encoding="UTF-8" standalone="yes"?>
<Relationships xmlns="http://schemas.openxmlformats.org/package/2006/relationships"><Relationship Id="rId3" Type="http://schemas.openxmlformats.org/officeDocument/2006/relationships/chart" Target="../charts/chart22.xml"/><Relationship Id="rId2" Type="http://schemas.openxmlformats.org/officeDocument/2006/relationships/chart" Target="../charts/chart21.xml"/><Relationship Id="rId1" Type="http://schemas.openxmlformats.org/officeDocument/2006/relationships/chart" Target="../charts/chart20.xml"/><Relationship Id="rId4" Type="http://schemas.openxmlformats.org/officeDocument/2006/relationships/chart" Target="../charts/chart23.xml"/></Relationships>
</file>

<file path=xl/drawings/_rels/drawing5.xml.rels><?xml version="1.0" encoding="UTF-8" standalone="yes"?>
<Relationships xmlns="http://schemas.openxmlformats.org/package/2006/relationships"><Relationship Id="rId3" Type="http://schemas.openxmlformats.org/officeDocument/2006/relationships/chart" Target="../charts/chart26.xml"/><Relationship Id="rId2" Type="http://schemas.openxmlformats.org/officeDocument/2006/relationships/chart" Target="../charts/chart25.xml"/><Relationship Id="rId1" Type="http://schemas.openxmlformats.org/officeDocument/2006/relationships/chart" Target="../charts/chart24.xml"/><Relationship Id="rId4" Type="http://schemas.openxmlformats.org/officeDocument/2006/relationships/chart" Target="../charts/chart27.xml"/></Relationships>
</file>

<file path=xl/drawings/_rels/drawing6.xml.rels><?xml version="1.0" encoding="UTF-8" standalone="yes"?>
<Relationships xmlns="http://schemas.openxmlformats.org/package/2006/relationships"><Relationship Id="rId3" Type="http://schemas.openxmlformats.org/officeDocument/2006/relationships/chart" Target="../charts/chart30.xml"/><Relationship Id="rId2" Type="http://schemas.openxmlformats.org/officeDocument/2006/relationships/chart" Target="../charts/chart29.xml"/><Relationship Id="rId1" Type="http://schemas.openxmlformats.org/officeDocument/2006/relationships/chart" Target="../charts/chart28.xml"/><Relationship Id="rId5" Type="http://schemas.openxmlformats.org/officeDocument/2006/relationships/chart" Target="../charts/chart32.xml"/><Relationship Id="rId4" Type="http://schemas.openxmlformats.org/officeDocument/2006/relationships/chart" Target="../charts/chart31.xml"/></Relationships>
</file>

<file path=xl/drawings/_rels/drawing7.xml.rels><?xml version="1.0" encoding="UTF-8" standalone="yes"?>
<Relationships xmlns="http://schemas.openxmlformats.org/package/2006/relationships"><Relationship Id="rId3" Type="http://schemas.openxmlformats.org/officeDocument/2006/relationships/chart" Target="../charts/chart35.xml"/><Relationship Id="rId2" Type="http://schemas.openxmlformats.org/officeDocument/2006/relationships/chart" Target="../charts/chart34.xml"/><Relationship Id="rId1" Type="http://schemas.openxmlformats.org/officeDocument/2006/relationships/chart" Target="../charts/chart33.xml"/><Relationship Id="rId4" Type="http://schemas.openxmlformats.org/officeDocument/2006/relationships/chart" Target="../charts/chart36.xml"/></Relationships>
</file>

<file path=xl/drawings/drawing1.xml><?xml version="1.0" encoding="utf-8"?>
<xdr:wsDr xmlns:xdr="http://schemas.openxmlformats.org/drawingml/2006/spreadsheetDrawing" xmlns:a="http://schemas.openxmlformats.org/drawingml/2006/main">
  <xdr:twoCellAnchor>
    <xdr:from>
      <xdr:col>11</xdr:col>
      <xdr:colOff>68580</xdr:colOff>
      <xdr:row>23</xdr:row>
      <xdr:rowOff>190500</xdr:rowOff>
    </xdr:from>
    <xdr:to>
      <xdr:col>17</xdr:col>
      <xdr:colOff>190500</xdr:colOff>
      <xdr:row>35</xdr:row>
      <xdr:rowOff>114300</xdr:rowOff>
    </xdr:to>
    <xdr:sp macro="" textlink="">
      <xdr:nvSpPr>
        <xdr:cNvPr id="2" name="Rectangle 1">
          <a:extLst>
            <a:ext uri="{FF2B5EF4-FFF2-40B4-BE49-F238E27FC236}">
              <a16:creationId xmlns:a16="http://schemas.microsoft.com/office/drawing/2014/main" id="{7FE82F4B-FA5B-959B-28A7-0E3E2CC41EF5}"/>
            </a:ext>
          </a:extLst>
        </xdr:cNvPr>
        <xdr:cNvSpPr/>
      </xdr:nvSpPr>
      <xdr:spPr>
        <a:xfrm>
          <a:off x="6774180" y="4983480"/>
          <a:ext cx="5730240" cy="2667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45720</xdr:colOff>
      <xdr:row>23</xdr:row>
      <xdr:rowOff>198120</xdr:rowOff>
    </xdr:from>
    <xdr:to>
      <xdr:col>14</xdr:col>
      <xdr:colOff>320040</xdr:colOff>
      <xdr:row>26</xdr:row>
      <xdr:rowOff>106680</xdr:rowOff>
    </xdr:to>
    <xdr:sp macro="" textlink="">
      <xdr:nvSpPr>
        <xdr:cNvPr id="3" name="Rectangle 2">
          <a:extLst>
            <a:ext uri="{FF2B5EF4-FFF2-40B4-BE49-F238E27FC236}">
              <a16:creationId xmlns:a16="http://schemas.microsoft.com/office/drawing/2014/main" id="{83DE2727-04D1-2992-8ABB-351F85F4B68F}"/>
            </a:ext>
          </a:extLst>
        </xdr:cNvPr>
        <xdr:cNvSpPr/>
      </xdr:nvSpPr>
      <xdr:spPr>
        <a:xfrm>
          <a:off x="6751320" y="4945380"/>
          <a:ext cx="4053840" cy="594360"/>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373380</xdr:colOff>
      <xdr:row>24</xdr:row>
      <xdr:rowOff>0</xdr:rowOff>
    </xdr:from>
    <xdr:to>
      <xdr:col>15</xdr:col>
      <xdr:colOff>121920</xdr:colOff>
      <xdr:row>26</xdr:row>
      <xdr:rowOff>121920</xdr:rowOff>
    </xdr:to>
    <xdr:sp macro="" textlink="">
      <xdr:nvSpPr>
        <xdr:cNvPr id="4" name="Rectangle 3">
          <a:extLst>
            <a:ext uri="{FF2B5EF4-FFF2-40B4-BE49-F238E27FC236}">
              <a16:creationId xmlns:a16="http://schemas.microsoft.com/office/drawing/2014/main" id="{D56C9D9E-4498-31CC-16FE-4212F2CE4D17}"/>
            </a:ext>
          </a:extLst>
        </xdr:cNvPr>
        <xdr:cNvSpPr/>
      </xdr:nvSpPr>
      <xdr:spPr>
        <a:xfrm>
          <a:off x="10858500" y="4975860"/>
          <a:ext cx="358140" cy="579120"/>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586740</xdr:colOff>
      <xdr:row>24</xdr:row>
      <xdr:rowOff>0</xdr:rowOff>
    </xdr:from>
    <xdr:to>
      <xdr:col>16</xdr:col>
      <xdr:colOff>335280</xdr:colOff>
      <xdr:row>26</xdr:row>
      <xdr:rowOff>121920</xdr:rowOff>
    </xdr:to>
    <xdr:sp macro="" textlink="">
      <xdr:nvSpPr>
        <xdr:cNvPr id="5" name="Rectangle 4">
          <a:extLst>
            <a:ext uri="{FF2B5EF4-FFF2-40B4-BE49-F238E27FC236}">
              <a16:creationId xmlns:a16="http://schemas.microsoft.com/office/drawing/2014/main" id="{7D5A4498-F06B-46EF-8E42-136B4312EA75}"/>
            </a:ext>
          </a:extLst>
        </xdr:cNvPr>
        <xdr:cNvSpPr/>
      </xdr:nvSpPr>
      <xdr:spPr>
        <a:xfrm>
          <a:off x="11681460" y="4975860"/>
          <a:ext cx="358140" cy="579120"/>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182880</xdr:colOff>
      <xdr:row>24</xdr:row>
      <xdr:rowOff>0</xdr:rowOff>
    </xdr:from>
    <xdr:to>
      <xdr:col>15</xdr:col>
      <xdr:colOff>541020</xdr:colOff>
      <xdr:row>26</xdr:row>
      <xdr:rowOff>121920</xdr:rowOff>
    </xdr:to>
    <xdr:sp macro="" textlink="">
      <xdr:nvSpPr>
        <xdr:cNvPr id="6" name="Rectangle 5">
          <a:extLst>
            <a:ext uri="{FF2B5EF4-FFF2-40B4-BE49-F238E27FC236}">
              <a16:creationId xmlns:a16="http://schemas.microsoft.com/office/drawing/2014/main" id="{7E6C9640-7021-4160-B50F-7CDC038B5D5B}"/>
            </a:ext>
          </a:extLst>
        </xdr:cNvPr>
        <xdr:cNvSpPr/>
      </xdr:nvSpPr>
      <xdr:spPr>
        <a:xfrm>
          <a:off x="11277600" y="4975860"/>
          <a:ext cx="358140" cy="579120"/>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381000</xdr:colOff>
      <xdr:row>24</xdr:row>
      <xdr:rowOff>7620</xdr:rowOff>
    </xdr:from>
    <xdr:to>
      <xdr:col>17</xdr:col>
      <xdr:colOff>129540</xdr:colOff>
      <xdr:row>26</xdr:row>
      <xdr:rowOff>129540</xdr:rowOff>
    </xdr:to>
    <xdr:sp macro="" textlink="">
      <xdr:nvSpPr>
        <xdr:cNvPr id="7" name="Rectangle 6">
          <a:extLst>
            <a:ext uri="{FF2B5EF4-FFF2-40B4-BE49-F238E27FC236}">
              <a16:creationId xmlns:a16="http://schemas.microsoft.com/office/drawing/2014/main" id="{869D6D4E-AFFF-4AD6-8D6E-1E4FB8D6F0E4}"/>
            </a:ext>
          </a:extLst>
        </xdr:cNvPr>
        <xdr:cNvSpPr/>
      </xdr:nvSpPr>
      <xdr:spPr>
        <a:xfrm>
          <a:off x="12085320" y="4983480"/>
          <a:ext cx="358140" cy="579120"/>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152400</xdr:colOff>
      <xdr:row>27</xdr:row>
      <xdr:rowOff>7620</xdr:rowOff>
    </xdr:from>
    <xdr:to>
      <xdr:col>12</xdr:col>
      <xdr:colOff>464820</xdr:colOff>
      <xdr:row>28</xdr:row>
      <xdr:rowOff>129540</xdr:rowOff>
    </xdr:to>
    <xdr:sp macro="" textlink="">
      <xdr:nvSpPr>
        <xdr:cNvPr id="8" name="Rectangle: Rounded Corners 7">
          <a:extLst>
            <a:ext uri="{FF2B5EF4-FFF2-40B4-BE49-F238E27FC236}">
              <a16:creationId xmlns:a16="http://schemas.microsoft.com/office/drawing/2014/main" id="{86ADB8F5-07BB-7AB7-8110-5D1BC4C97E23}"/>
            </a:ext>
          </a:extLst>
        </xdr:cNvPr>
        <xdr:cNvSpPr/>
      </xdr:nvSpPr>
      <xdr:spPr>
        <a:xfrm>
          <a:off x="6858000" y="5669280"/>
          <a:ext cx="1318260" cy="3505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160020</xdr:colOff>
      <xdr:row>28</xdr:row>
      <xdr:rowOff>175260</xdr:rowOff>
    </xdr:from>
    <xdr:to>
      <xdr:col>12</xdr:col>
      <xdr:colOff>472440</xdr:colOff>
      <xdr:row>30</xdr:row>
      <xdr:rowOff>68580</xdr:rowOff>
    </xdr:to>
    <xdr:sp macro="" textlink="">
      <xdr:nvSpPr>
        <xdr:cNvPr id="9" name="Rectangle: Rounded Corners 8">
          <a:extLst>
            <a:ext uri="{FF2B5EF4-FFF2-40B4-BE49-F238E27FC236}">
              <a16:creationId xmlns:a16="http://schemas.microsoft.com/office/drawing/2014/main" id="{13DC2F82-CB34-499E-9223-63B394FD5CC2}"/>
            </a:ext>
          </a:extLst>
        </xdr:cNvPr>
        <xdr:cNvSpPr/>
      </xdr:nvSpPr>
      <xdr:spPr>
        <a:xfrm>
          <a:off x="6865620" y="6065520"/>
          <a:ext cx="1318260" cy="3505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586740</xdr:colOff>
      <xdr:row>28</xdr:row>
      <xdr:rowOff>160020</xdr:rowOff>
    </xdr:from>
    <xdr:to>
      <xdr:col>13</xdr:col>
      <xdr:colOff>388620</xdr:colOff>
      <xdr:row>30</xdr:row>
      <xdr:rowOff>53340</xdr:rowOff>
    </xdr:to>
    <xdr:sp macro="" textlink="">
      <xdr:nvSpPr>
        <xdr:cNvPr id="10" name="Rectangle: Rounded Corners 9">
          <a:extLst>
            <a:ext uri="{FF2B5EF4-FFF2-40B4-BE49-F238E27FC236}">
              <a16:creationId xmlns:a16="http://schemas.microsoft.com/office/drawing/2014/main" id="{893B6A05-F56F-442A-82A8-ACC62010F578}"/>
            </a:ext>
          </a:extLst>
        </xdr:cNvPr>
        <xdr:cNvSpPr/>
      </xdr:nvSpPr>
      <xdr:spPr>
        <a:xfrm>
          <a:off x="8298180" y="6096000"/>
          <a:ext cx="1318260" cy="3505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571500</xdr:colOff>
      <xdr:row>26</xdr:row>
      <xdr:rowOff>220980</xdr:rowOff>
    </xdr:from>
    <xdr:to>
      <xdr:col>13</xdr:col>
      <xdr:colOff>373380</xdr:colOff>
      <xdr:row>28</xdr:row>
      <xdr:rowOff>114300</xdr:rowOff>
    </xdr:to>
    <xdr:sp macro="" textlink="">
      <xdr:nvSpPr>
        <xdr:cNvPr id="11" name="Rectangle: Rounded Corners 10">
          <a:extLst>
            <a:ext uri="{FF2B5EF4-FFF2-40B4-BE49-F238E27FC236}">
              <a16:creationId xmlns:a16="http://schemas.microsoft.com/office/drawing/2014/main" id="{6BD7C9BA-5F0C-40D8-85A1-40016D45034A}"/>
            </a:ext>
          </a:extLst>
        </xdr:cNvPr>
        <xdr:cNvSpPr/>
      </xdr:nvSpPr>
      <xdr:spPr>
        <a:xfrm>
          <a:off x="8282940" y="5699760"/>
          <a:ext cx="1318260" cy="3505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457200</xdr:colOff>
      <xdr:row>26</xdr:row>
      <xdr:rowOff>198120</xdr:rowOff>
    </xdr:from>
    <xdr:to>
      <xdr:col>14</xdr:col>
      <xdr:colOff>518160</xdr:colOff>
      <xdr:row>28</xdr:row>
      <xdr:rowOff>91440</xdr:rowOff>
    </xdr:to>
    <xdr:sp macro="" textlink="">
      <xdr:nvSpPr>
        <xdr:cNvPr id="12" name="Rectangle: Rounded Corners 11">
          <a:extLst>
            <a:ext uri="{FF2B5EF4-FFF2-40B4-BE49-F238E27FC236}">
              <a16:creationId xmlns:a16="http://schemas.microsoft.com/office/drawing/2014/main" id="{B2B0F904-8BEC-4AA2-A4CC-82511F7AD873}"/>
            </a:ext>
          </a:extLst>
        </xdr:cNvPr>
        <xdr:cNvSpPr/>
      </xdr:nvSpPr>
      <xdr:spPr>
        <a:xfrm>
          <a:off x="9685020" y="5631180"/>
          <a:ext cx="1318260" cy="3505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571500</xdr:colOff>
      <xdr:row>26</xdr:row>
      <xdr:rowOff>213360</xdr:rowOff>
    </xdr:from>
    <xdr:to>
      <xdr:col>17</xdr:col>
      <xdr:colOff>60960</xdr:colOff>
      <xdr:row>28</xdr:row>
      <xdr:rowOff>106680</xdr:rowOff>
    </xdr:to>
    <xdr:sp macro="" textlink="">
      <xdr:nvSpPr>
        <xdr:cNvPr id="13" name="Rectangle: Rounded Corners 12">
          <a:extLst>
            <a:ext uri="{FF2B5EF4-FFF2-40B4-BE49-F238E27FC236}">
              <a16:creationId xmlns:a16="http://schemas.microsoft.com/office/drawing/2014/main" id="{9FEFAC6C-56B7-4BD8-88E9-F90E396B27DA}"/>
            </a:ext>
          </a:extLst>
        </xdr:cNvPr>
        <xdr:cNvSpPr/>
      </xdr:nvSpPr>
      <xdr:spPr>
        <a:xfrm>
          <a:off x="11056620" y="5646420"/>
          <a:ext cx="1318260" cy="3505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45720</xdr:colOff>
      <xdr:row>36</xdr:row>
      <xdr:rowOff>205740</xdr:rowOff>
    </xdr:from>
    <xdr:to>
      <xdr:col>17</xdr:col>
      <xdr:colOff>167640</xdr:colOff>
      <xdr:row>48</xdr:row>
      <xdr:rowOff>129540</xdr:rowOff>
    </xdr:to>
    <xdr:sp macro="" textlink="">
      <xdr:nvSpPr>
        <xdr:cNvPr id="14" name="Rectangle 13">
          <a:extLst>
            <a:ext uri="{FF2B5EF4-FFF2-40B4-BE49-F238E27FC236}">
              <a16:creationId xmlns:a16="http://schemas.microsoft.com/office/drawing/2014/main" id="{DCBF9259-E28F-4178-AC6E-DF7CDC825334}"/>
            </a:ext>
          </a:extLst>
        </xdr:cNvPr>
        <xdr:cNvSpPr/>
      </xdr:nvSpPr>
      <xdr:spPr>
        <a:xfrm>
          <a:off x="6751320" y="7970520"/>
          <a:ext cx="5730240" cy="2667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0</xdr:colOff>
      <xdr:row>24</xdr:row>
      <xdr:rowOff>0</xdr:rowOff>
    </xdr:from>
    <xdr:to>
      <xdr:col>27</xdr:col>
      <xdr:colOff>243840</xdr:colOff>
      <xdr:row>35</xdr:row>
      <xdr:rowOff>152400</xdr:rowOff>
    </xdr:to>
    <xdr:sp macro="" textlink="">
      <xdr:nvSpPr>
        <xdr:cNvPr id="15" name="Rectangle 14">
          <a:extLst>
            <a:ext uri="{FF2B5EF4-FFF2-40B4-BE49-F238E27FC236}">
              <a16:creationId xmlns:a16="http://schemas.microsoft.com/office/drawing/2014/main" id="{AD3ECAE2-7315-4BD6-A38B-CE5C9E3D7E38}"/>
            </a:ext>
          </a:extLst>
        </xdr:cNvPr>
        <xdr:cNvSpPr/>
      </xdr:nvSpPr>
      <xdr:spPr>
        <a:xfrm>
          <a:off x="12923520" y="5021580"/>
          <a:ext cx="5730240" cy="2667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0</xdr:colOff>
      <xdr:row>37</xdr:row>
      <xdr:rowOff>0</xdr:rowOff>
    </xdr:from>
    <xdr:to>
      <xdr:col>27</xdr:col>
      <xdr:colOff>243840</xdr:colOff>
      <xdr:row>48</xdr:row>
      <xdr:rowOff>152400</xdr:rowOff>
    </xdr:to>
    <xdr:sp macro="" textlink="">
      <xdr:nvSpPr>
        <xdr:cNvPr id="16" name="Rectangle 15">
          <a:extLst>
            <a:ext uri="{FF2B5EF4-FFF2-40B4-BE49-F238E27FC236}">
              <a16:creationId xmlns:a16="http://schemas.microsoft.com/office/drawing/2014/main" id="{C4E1FF49-AF9D-467D-8A8F-124E4E40168D}"/>
            </a:ext>
          </a:extLst>
        </xdr:cNvPr>
        <xdr:cNvSpPr/>
      </xdr:nvSpPr>
      <xdr:spPr>
        <a:xfrm>
          <a:off x="12923520" y="7993380"/>
          <a:ext cx="5730240" cy="2667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0</xdr:colOff>
      <xdr:row>24</xdr:row>
      <xdr:rowOff>0</xdr:rowOff>
    </xdr:from>
    <xdr:to>
      <xdr:col>24</xdr:col>
      <xdr:colOff>396240</xdr:colOff>
      <xdr:row>26</xdr:row>
      <xdr:rowOff>137160</xdr:rowOff>
    </xdr:to>
    <xdr:sp macro="" textlink="">
      <xdr:nvSpPr>
        <xdr:cNvPr id="17" name="Rectangle 16">
          <a:extLst>
            <a:ext uri="{FF2B5EF4-FFF2-40B4-BE49-F238E27FC236}">
              <a16:creationId xmlns:a16="http://schemas.microsoft.com/office/drawing/2014/main" id="{C5EBF5BD-F72F-4360-A3F5-B9DBC293C1F3}"/>
            </a:ext>
          </a:extLst>
        </xdr:cNvPr>
        <xdr:cNvSpPr/>
      </xdr:nvSpPr>
      <xdr:spPr>
        <a:xfrm>
          <a:off x="12923520" y="5021580"/>
          <a:ext cx="4053840" cy="594360"/>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26</xdr:col>
      <xdr:colOff>106680</xdr:colOff>
      <xdr:row>24</xdr:row>
      <xdr:rowOff>15240</xdr:rowOff>
    </xdr:from>
    <xdr:to>
      <xdr:col>26</xdr:col>
      <xdr:colOff>464820</xdr:colOff>
      <xdr:row>26</xdr:row>
      <xdr:rowOff>137160</xdr:rowOff>
    </xdr:to>
    <xdr:sp macro="" textlink="">
      <xdr:nvSpPr>
        <xdr:cNvPr id="18" name="Rectangle 17">
          <a:extLst>
            <a:ext uri="{FF2B5EF4-FFF2-40B4-BE49-F238E27FC236}">
              <a16:creationId xmlns:a16="http://schemas.microsoft.com/office/drawing/2014/main" id="{02811BBF-BB84-4516-9775-4D0A1E4A4BC0}"/>
            </a:ext>
          </a:extLst>
        </xdr:cNvPr>
        <xdr:cNvSpPr/>
      </xdr:nvSpPr>
      <xdr:spPr>
        <a:xfrm>
          <a:off x="17907000" y="5036820"/>
          <a:ext cx="358140" cy="579120"/>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25</xdr:col>
      <xdr:colOff>266700</xdr:colOff>
      <xdr:row>24</xdr:row>
      <xdr:rowOff>22860</xdr:rowOff>
    </xdr:from>
    <xdr:to>
      <xdr:col>26</xdr:col>
      <xdr:colOff>15240</xdr:colOff>
      <xdr:row>26</xdr:row>
      <xdr:rowOff>144780</xdr:rowOff>
    </xdr:to>
    <xdr:sp macro="" textlink="">
      <xdr:nvSpPr>
        <xdr:cNvPr id="19" name="Rectangle 18">
          <a:extLst>
            <a:ext uri="{FF2B5EF4-FFF2-40B4-BE49-F238E27FC236}">
              <a16:creationId xmlns:a16="http://schemas.microsoft.com/office/drawing/2014/main" id="{76E54558-46A5-45D2-B117-7DAB70999CEB}"/>
            </a:ext>
          </a:extLst>
        </xdr:cNvPr>
        <xdr:cNvSpPr/>
      </xdr:nvSpPr>
      <xdr:spPr>
        <a:xfrm>
          <a:off x="17457420" y="5044440"/>
          <a:ext cx="358140" cy="579120"/>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464820</xdr:colOff>
      <xdr:row>24</xdr:row>
      <xdr:rowOff>22860</xdr:rowOff>
    </xdr:from>
    <xdr:to>
      <xdr:col>25</xdr:col>
      <xdr:colOff>213360</xdr:colOff>
      <xdr:row>26</xdr:row>
      <xdr:rowOff>144780</xdr:rowOff>
    </xdr:to>
    <xdr:sp macro="" textlink="">
      <xdr:nvSpPr>
        <xdr:cNvPr id="20" name="Rectangle 19">
          <a:extLst>
            <a:ext uri="{FF2B5EF4-FFF2-40B4-BE49-F238E27FC236}">
              <a16:creationId xmlns:a16="http://schemas.microsoft.com/office/drawing/2014/main" id="{A55ECDD3-E0E3-4866-8711-5E5E80B91F03}"/>
            </a:ext>
          </a:extLst>
        </xdr:cNvPr>
        <xdr:cNvSpPr/>
      </xdr:nvSpPr>
      <xdr:spPr>
        <a:xfrm>
          <a:off x="17045940" y="5044440"/>
          <a:ext cx="358140" cy="579120"/>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99060</xdr:colOff>
      <xdr:row>26</xdr:row>
      <xdr:rowOff>213360</xdr:rowOff>
    </xdr:from>
    <xdr:to>
      <xdr:col>20</xdr:col>
      <xdr:colOff>198120</xdr:colOff>
      <xdr:row>28</xdr:row>
      <xdr:rowOff>106680</xdr:rowOff>
    </xdr:to>
    <xdr:sp macro="" textlink="">
      <xdr:nvSpPr>
        <xdr:cNvPr id="21" name="Rectangle: Rounded Corners 20">
          <a:extLst>
            <a:ext uri="{FF2B5EF4-FFF2-40B4-BE49-F238E27FC236}">
              <a16:creationId xmlns:a16="http://schemas.microsoft.com/office/drawing/2014/main" id="{71F89F97-4F89-4FCE-88FC-C817F179484C}"/>
            </a:ext>
          </a:extLst>
        </xdr:cNvPr>
        <xdr:cNvSpPr/>
      </xdr:nvSpPr>
      <xdr:spPr>
        <a:xfrm>
          <a:off x="13022580" y="5692140"/>
          <a:ext cx="1318260" cy="3505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ToTal</a:t>
          </a:r>
          <a:r>
            <a:rPr lang="en-IN" sz="1100" baseline="0"/>
            <a:t> Spend </a:t>
          </a:r>
          <a:endParaRPr lang="en-IN" sz="1100"/>
        </a:p>
      </xdr:txBody>
    </xdr:sp>
    <xdr:clientData/>
  </xdr:twoCellAnchor>
  <xdr:twoCellAnchor>
    <xdr:from>
      <xdr:col>20</xdr:col>
      <xdr:colOff>327660</xdr:colOff>
      <xdr:row>26</xdr:row>
      <xdr:rowOff>213360</xdr:rowOff>
    </xdr:from>
    <xdr:to>
      <xdr:col>22</xdr:col>
      <xdr:colOff>426720</xdr:colOff>
      <xdr:row>28</xdr:row>
      <xdr:rowOff>106680</xdr:rowOff>
    </xdr:to>
    <xdr:sp macro="" textlink="">
      <xdr:nvSpPr>
        <xdr:cNvPr id="22" name="Rectangle: Rounded Corners 21">
          <a:extLst>
            <a:ext uri="{FF2B5EF4-FFF2-40B4-BE49-F238E27FC236}">
              <a16:creationId xmlns:a16="http://schemas.microsoft.com/office/drawing/2014/main" id="{29CC3F04-F458-4E09-B443-EEFF4DEA47EE}"/>
            </a:ext>
          </a:extLst>
        </xdr:cNvPr>
        <xdr:cNvSpPr/>
      </xdr:nvSpPr>
      <xdr:spPr>
        <a:xfrm>
          <a:off x="14470380" y="5692140"/>
          <a:ext cx="1318260" cy="3505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Total Revenue</a:t>
          </a:r>
        </a:p>
      </xdr:txBody>
    </xdr:sp>
    <xdr:clientData/>
  </xdr:twoCellAnchor>
  <xdr:twoCellAnchor>
    <xdr:from>
      <xdr:col>22</xdr:col>
      <xdr:colOff>480060</xdr:colOff>
      <xdr:row>26</xdr:row>
      <xdr:rowOff>198120</xdr:rowOff>
    </xdr:from>
    <xdr:to>
      <xdr:col>24</xdr:col>
      <xdr:colOff>579120</xdr:colOff>
      <xdr:row>28</xdr:row>
      <xdr:rowOff>91440</xdr:rowOff>
    </xdr:to>
    <xdr:sp macro="" textlink="">
      <xdr:nvSpPr>
        <xdr:cNvPr id="23" name="Rectangle: Rounded Corners 22">
          <a:extLst>
            <a:ext uri="{FF2B5EF4-FFF2-40B4-BE49-F238E27FC236}">
              <a16:creationId xmlns:a16="http://schemas.microsoft.com/office/drawing/2014/main" id="{7AD1C153-FEE1-4CAB-9AC2-0C321BFB0AC7}"/>
            </a:ext>
          </a:extLst>
        </xdr:cNvPr>
        <xdr:cNvSpPr/>
      </xdr:nvSpPr>
      <xdr:spPr>
        <a:xfrm>
          <a:off x="15841980" y="5676900"/>
          <a:ext cx="1318260" cy="3505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Conversion Rate</a:t>
          </a:r>
          <a:r>
            <a:rPr lang="en-IN" sz="1100" baseline="0"/>
            <a:t> %</a:t>
          </a:r>
          <a:endParaRPr lang="en-IN" sz="1100"/>
        </a:p>
      </xdr:txBody>
    </xdr:sp>
    <xdr:clientData/>
  </xdr:twoCellAnchor>
  <xdr:twoCellAnchor>
    <xdr:from>
      <xdr:col>25</xdr:col>
      <xdr:colOff>76200</xdr:colOff>
      <xdr:row>26</xdr:row>
      <xdr:rowOff>175260</xdr:rowOff>
    </xdr:from>
    <xdr:to>
      <xdr:col>27</xdr:col>
      <xdr:colOff>175260</xdr:colOff>
      <xdr:row>28</xdr:row>
      <xdr:rowOff>68580</xdr:rowOff>
    </xdr:to>
    <xdr:sp macro="" textlink="">
      <xdr:nvSpPr>
        <xdr:cNvPr id="24" name="Rectangle: Rounded Corners 23">
          <a:extLst>
            <a:ext uri="{FF2B5EF4-FFF2-40B4-BE49-F238E27FC236}">
              <a16:creationId xmlns:a16="http://schemas.microsoft.com/office/drawing/2014/main" id="{B9DCD578-9F1D-48A5-92AE-0D7F4265BA2C}"/>
            </a:ext>
          </a:extLst>
        </xdr:cNvPr>
        <xdr:cNvSpPr/>
      </xdr:nvSpPr>
      <xdr:spPr>
        <a:xfrm>
          <a:off x="17266920" y="5654040"/>
          <a:ext cx="1318260" cy="3505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100">
              <a:solidFill>
                <a:schemeClr val="lt1"/>
              </a:solidFill>
              <a:effectLst/>
              <a:latin typeface="+mn-lt"/>
              <a:ea typeface="+mn-ea"/>
              <a:cs typeface="+mn-cs"/>
            </a:rPr>
            <a:t>Overall ROI</a:t>
          </a:r>
          <a:endParaRPr lang="en-IN">
            <a:effectLst/>
          </a:endParaRPr>
        </a:p>
        <a:p>
          <a:pPr algn="l"/>
          <a:endParaRPr lang="en-IN" sz="1100"/>
        </a:p>
      </xdr:txBody>
    </xdr:sp>
    <xdr:clientData/>
  </xdr:twoCellAnchor>
  <xdr:twoCellAnchor>
    <xdr:from>
      <xdr:col>18</xdr:col>
      <xdr:colOff>45720</xdr:colOff>
      <xdr:row>28</xdr:row>
      <xdr:rowOff>144780</xdr:rowOff>
    </xdr:from>
    <xdr:to>
      <xdr:col>27</xdr:col>
      <xdr:colOff>213360</xdr:colOff>
      <xdr:row>35</xdr:row>
      <xdr:rowOff>99060</xdr:rowOff>
    </xdr:to>
    <xdr:sp macro="" textlink="">
      <xdr:nvSpPr>
        <xdr:cNvPr id="25" name="Rectangle 24">
          <a:extLst>
            <a:ext uri="{FF2B5EF4-FFF2-40B4-BE49-F238E27FC236}">
              <a16:creationId xmlns:a16="http://schemas.microsoft.com/office/drawing/2014/main" id="{51A83556-DA93-14FE-929E-62599BF392D4}"/>
            </a:ext>
          </a:extLst>
        </xdr:cNvPr>
        <xdr:cNvSpPr/>
      </xdr:nvSpPr>
      <xdr:spPr>
        <a:xfrm>
          <a:off x="12969240" y="6080760"/>
          <a:ext cx="5654040" cy="1554480"/>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ln>
                <a:solidFill>
                  <a:sysClr val="windowText" lastClr="000000"/>
                </a:solidFill>
              </a:ln>
            </a:rPr>
            <a:t>ROI</a:t>
          </a:r>
          <a:r>
            <a:rPr lang="en-IN" sz="1100" baseline="0">
              <a:ln>
                <a:solidFill>
                  <a:sysClr val="windowText" lastClr="000000"/>
                </a:solidFill>
              </a:ln>
            </a:rPr>
            <a:t> by Region      Spend , Revenue by Region,   </a:t>
          </a:r>
          <a:r>
            <a:rPr lang="en-IN" sz="1100" b="1" baseline="0">
              <a:solidFill>
                <a:srgbClr val="FF0000"/>
              </a:solidFill>
              <a:effectLst/>
              <a:latin typeface="+mn-lt"/>
              <a:ea typeface="+mn-ea"/>
              <a:cs typeface="+mn-cs"/>
            </a:rPr>
            <a:t>Spend , Revenue by  Quarter</a:t>
          </a:r>
          <a:r>
            <a:rPr lang="en-IN" sz="1100" b="1" baseline="0">
              <a:solidFill>
                <a:sysClr val="windowText" lastClr="000000"/>
              </a:solidFill>
              <a:effectLst/>
              <a:latin typeface="+mn-lt"/>
              <a:ea typeface="+mn-ea"/>
              <a:cs typeface="+mn-cs"/>
            </a:rPr>
            <a:t>,   Conversion Rate % by  Region,   Revenue Per dollar Spent by Region</a:t>
          </a:r>
        </a:p>
        <a:p>
          <a:pPr algn="l"/>
          <a:endParaRPr lang="en-IN" sz="1100" b="1">
            <a:ln>
              <a:solidFill>
                <a:sysClr val="windowText" lastClr="000000"/>
              </a:solidFill>
            </a:ln>
            <a:solidFill>
              <a:sysClr val="windowText" lastClr="000000"/>
            </a:solidFill>
          </a:endParaRPr>
        </a:p>
      </xdr:txBody>
    </xdr:sp>
    <xdr:clientData/>
  </xdr:twoCellAnchor>
  <xdr:twoCellAnchor>
    <xdr:from>
      <xdr:col>11</xdr:col>
      <xdr:colOff>95250</xdr:colOff>
      <xdr:row>37</xdr:row>
      <xdr:rowOff>0</xdr:rowOff>
    </xdr:from>
    <xdr:to>
      <xdr:col>14</xdr:col>
      <xdr:colOff>369570</xdr:colOff>
      <xdr:row>39</xdr:row>
      <xdr:rowOff>137160</xdr:rowOff>
    </xdr:to>
    <xdr:sp macro="" textlink="">
      <xdr:nvSpPr>
        <xdr:cNvPr id="26" name="Rectangle 25">
          <a:extLst>
            <a:ext uri="{FF2B5EF4-FFF2-40B4-BE49-F238E27FC236}">
              <a16:creationId xmlns:a16="http://schemas.microsoft.com/office/drawing/2014/main" id="{F038590F-760C-4CB8-BC69-B1FBBA5A18AB}"/>
            </a:ext>
            <a:ext uri="{147F2762-F138-4A5C-976F-8EAC2B608ADB}">
              <a16:predDERef xmlns:a16="http://schemas.microsoft.com/office/drawing/2014/main" pred="{51A83556-DA93-14FE-929E-62599BF392D4}"/>
            </a:ext>
          </a:extLst>
        </xdr:cNvPr>
        <xdr:cNvSpPr/>
      </xdr:nvSpPr>
      <xdr:spPr>
        <a:xfrm>
          <a:off x="12030075" y="7915275"/>
          <a:ext cx="3950970" cy="594360"/>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0</xdr:colOff>
      <xdr:row>37</xdr:row>
      <xdr:rowOff>0</xdr:rowOff>
    </xdr:from>
    <xdr:to>
      <xdr:col>24</xdr:col>
      <xdr:colOff>396240</xdr:colOff>
      <xdr:row>39</xdr:row>
      <xdr:rowOff>137160</xdr:rowOff>
    </xdr:to>
    <xdr:sp macro="" textlink="">
      <xdr:nvSpPr>
        <xdr:cNvPr id="27" name="Rectangle 26">
          <a:extLst>
            <a:ext uri="{FF2B5EF4-FFF2-40B4-BE49-F238E27FC236}">
              <a16:creationId xmlns:a16="http://schemas.microsoft.com/office/drawing/2014/main" id="{BAD62CAC-D00C-41FE-8067-177A183B828F}"/>
            </a:ext>
          </a:extLst>
        </xdr:cNvPr>
        <xdr:cNvSpPr/>
      </xdr:nvSpPr>
      <xdr:spPr>
        <a:xfrm>
          <a:off x="12923520" y="7993380"/>
          <a:ext cx="4053840" cy="594360"/>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228600</xdr:colOff>
      <xdr:row>36</xdr:row>
      <xdr:rowOff>213360</xdr:rowOff>
    </xdr:from>
    <xdr:to>
      <xdr:col>16</xdr:col>
      <xdr:colOff>586740</xdr:colOff>
      <xdr:row>39</xdr:row>
      <xdr:rowOff>106680</xdr:rowOff>
    </xdr:to>
    <xdr:sp macro="" textlink="">
      <xdr:nvSpPr>
        <xdr:cNvPr id="28" name="Rectangle 27">
          <a:extLst>
            <a:ext uri="{FF2B5EF4-FFF2-40B4-BE49-F238E27FC236}">
              <a16:creationId xmlns:a16="http://schemas.microsoft.com/office/drawing/2014/main" id="{35A65E11-EA80-42DD-9DDC-E38089264048}"/>
            </a:ext>
          </a:extLst>
        </xdr:cNvPr>
        <xdr:cNvSpPr/>
      </xdr:nvSpPr>
      <xdr:spPr>
        <a:xfrm>
          <a:off x="11932920" y="7978140"/>
          <a:ext cx="358140" cy="579120"/>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182880</xdr:colOff>
      <xdr:row>36</xdr:row>
      <xdr:rowOff>213360</xdr:rowOff>
    </xdr:from>
    <xdr:to>
      <xdr:col>15</xdr:col>
      <xdr:colOff>541020</xdr:colOff>
      <xdr:row>39</xdr:row>
      <xdr:rowOff>106680</xdr:rowOff>
    </xdr:to>
    <xdr:sp macro="" textlink="">
      <xdr:nvSpPr>
        <xdr:cNvPr id="29" name="Rectangle 28">
          <a:extLst>
            <a:ext uri="{FF2B5EF4-FFF2-40B4-BE49-F238E27FC236}">
              <a16:creationId xmlns:a16="http://schemas.microsoft.com/office/drawing/2014/main" id="{22CFF07E-8264-4CC1-AC5B-1373C3C18027}"/>
            </a:ext>
          </a:extLst>
        </xdr:cNvPr>
        <xdr:cNvSpPr/>
      </xdr:nvSpPr>
      <xdr:spPr>
        <a:xfrm>
          <a:off x="11277600" y="7978140"/>
          <a:ext cx="358140" cy="579120"/>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320040</xdr:colOff>
      <xdr:row>37</xdr:row>
      <xdr:rowOff>0</xdr:rowOff>
    </xdr:from>
    <xdr:to>
      <xdr:col>15</xdr:col>
      <xdr:colOff>68580</xdr:colOff>
      <xdr:row>39</xdr:row>
      <xdr:rowOff>121920</xdr:rowOff>
    </xdr:to>
    <xdr:sp macro="" textlink="">
      <xdr:nvSpPr>
        <xdr:cNvPr id="30" name="Rectangle 29">
          <a:extLst>
            <a:ext uri="{FF2B5EF4-FFF2-40B4-BE49-F238E27FC236}">
              <a16:creationId xmlns:a16="http://schemas.microsoft.com/office/drawing/2014/main" id="{86C8F17C-9839-4063-97A6-91E0B47B4C3C}"/>
            </a:ext>
          </a:extLst>
        </xdr:cNvPr>
        <xdr:cNvSpPr/>
      </xdr:nvSpPr>
      <xdr:spPr>
        <a:xfrm>
          <a:off x="10805160" y="7993380"/>
          <a:ext cx="358140" cy="579120"/>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26</xdr:col>
      <xdr:colOff>259080</xdr:colOff>
      <xdr:row>37</xdr:row>
      <xdr:rowOff>0</xdr:rowOff>
    </xdr:from>
    <xdr:to>
      <xdr:col>27</xdr:col>
      <xdr:colOff>7620</xdr:colOff>
      <xdr:row>39</xdr:row>
      <xdr:rowOff>121920</xdr:rowOff>
    </xdr:to>
    <xdr:sp macro="" textlink="">
      <xdr:nvSpPr>
        <xdr:cNvPr id="31" name="Rectangle 30">
          <a:extLst>
            <a:ext uri="{FF2B5EF4-FFF2-40B4-BE49-F238E27FC236}">
              <a16:creationId xmlns:a16="http://schemas.microsoft.com/office/drawing/2014/main" id="{C87C6D60-FE96-4F0F-B167-14FD24F377C1}"/>
            </a:ext>
          </a:extLst>
        </xdr:cNvPr>
        <xdr:cNvSpPr/>
      </xdr:nvSpPr>
      <xdr:spPr>
        <a:xfrm>
          <a:off x="18059400" y="7993380"/>
          <a:ext cx="358140" cy="579120"/>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25</xdr:col>
      <xdr:colOff>350520</xdr:colOff>
      <xdr:row>36</xdr:row>
      <xdr:rowOff>220980</xdr:rowOff>
    </xdr:from>
    <xdr:to>
      <xdr:col>26</xdr:col>
      <xdr:colOff>99060</xdr:colOff>
      <xdr:row>39</xdr:row>
      <xdr:rowOff>114300</xdr:rowOff>
    </xdr:to>
    <xdr:sp macro="" textlink="">
      <xdr:nvSpPr>
        <xdr:cNvPr id="32" name="Rectangle 31">
          <a:extLst>
            <a:ext uri="{FF2B5EF4-FFF2-40B4-BE49-F238E27FC236}">
              <a16:creationId xmlns:a16="http://schemas.microsoft.com/office/drawing/2014/main" id="{820C169F-F587-45AB-B71F-7E4566FB4459}"/>
            </a:ext>
          </a:extLst>
        </xdr:cNvPr>
        <xdr:cNvSpPr/>
      </xdr:nvSpPr>
      <xdr:spPr>
        <a:xfrm>
          <a:off x="17541240" y="7985760"/>
          <a:ext cx="358140" cy="579120"/>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480060</xdr:colOff>
      <xdr:row>37</xdr:row>
      <xdr:rowOff>7620</xdr:rowOff>
    </xdr:from>
    <xdr:to>
      <xdr:col>25</xdr:col>
      <xdr:colOff>228600</xdr:colOff>
      <xdr:row>39</xdr:row>
      <xdr:rowOff>129540</xdr:rowOff>
    </xdr:to>
    <xdr:sp macro="" textlink="">
      <xdr:nvSpPr>
        <xdr:cNvPr id="33" name="Rectangle 32">
          <a:extLst>
            <a:ext uri="{FF2B5EF4-FFF2-40B4-BE49-F238E27FC236}">
              <a16:creationId xmlns:a16="http://schemas.microsoft.com/office/drawing/2014/main" id="{B51B055D-9B21-405D-8B67-65C8091DEA53}"/>
            </a:ext>
          </a:extLst>
        </xdr:cNvPr>
        <xdr:cNvSpPr/>
      </xdr:nvSpPr>
      <xdr:spPr>
        <a:xfrm>
          <a:off x="17061180" y="8001000"/>
          <a:ext cx="358140" cy="579120"/>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137160</xdr:colOff>
      <xdr:row>39</xdr:row>
      <xdr:rowOff>160020</xdr:rowOff>
    </xdr:from>
    <xdr:to>
      <xdr:col>12</xdr:col>
      <xdr:colOff>449580</xdr:colOff>
      <xdr:row>41</xdr:row>
      <xdr:rowOff>53340</xdr:rowOff>
    </xdr:to>
    <xdr:sp macro="" textlink="">
      <xdr:nvSpPr>
        <xdr:cNvPr id="35" name="Rectangle: Rounded Corners 34">
          <a:extLst>
            <a:ext uri="{FF2B5EF4-FFF2-40B4-BE49-F238E27FC236}">
              <a16:creationId xmlns:a16="http://schemas.microsoft.com/office/drawing/2014/main" id="{70AFAD55-DC78-4FB1-B9C3-0BF6770ABF39}"/>
            </a:ext>
          </a:extLst>
        </xdr:cNvPr>
        <xdr:cNvSpPr/>
      </xdr:nvSpPr>
      <xdr:spPr>
        <a:xfrm>
          <a:off x="6842760" y="8610600"/>
          <a:ext cx="1318260" cy="3505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ToTal</a:t>
          </a:r>
          <a:r>
            <a:rPr lang="en-IN" sz="1100" baseline="0"/>
            <a:t> Spend </a:t>
          </a:r>
          <a:endParaRPr lang="en-IN" sz="1100"/>
        </a:p>
      </xdr:txBody>
    </xdr:sp>
    <xdr:clientData/>
  </xdr:twoCellAnchor>
  <xdr:twoCellAnchor>
    <xdr:from>
      <xdr:col>12</xdr:col>
      <xdr:colOff>518160</xdr:colOff>
      <xdr:row>39</xdr:row>
      <xdr:rowOff>167640</xdr:rowOff>
    </xdr:from>
    <xdr:to>
      <xdr:col>13</xdr:col>
      <xdr:colOff>320040</xdr:colOff>
      <xdr:row>41</xdr:row>
      <xdr:rowOff>60960</xdr:rowOff>
    </xdr:to>
    <xdr:sp macro="" textlink="">
      <xdr:nvSpPr>
        <xdr:cNvPr id="36" name="Rectangle: Rounded Corners 35">
          <a:extLst>
            <a:ext uri="{FF2B5EF4-FFF2-40B4-BE49-F238E27FC236}">
              <a16:creationId xmlns:a16="http://schemas.microsoft.com/office/drawing/2014/main" id="{66F09AAA-491A-4411-8E8E-F94FD45526C6}"/>
            </a:ext>
          </a:extLst>
        </xdr:cNvPr>
        <xdr:cNvSpPr/>
      </xdr:nvSpPr>
      <xdr:spPr>
        <a:xfrm>
          <a:off x="8229600" y="8618220"/>
          <a:ext cx="1318260" cy="3505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Total Revenue</a:t>
          </a:r>
        </a:p>
      </xdr:txBody>
    </xdr:sp>
    <xdr:clientData/>
  </xdr:twoCellAnchor>
  <xdr:twoCellAnchor>
    <xdr:from>
      <xdr:col>22</xdr:col>
      <xdr:colOff>601980</xdr:colOff>
      <xdr:row>41</xdr:row>
      <xdr:rowOff>76200</xdr:rowOff>
    </xdr:from>
    <xdr:to>
      <xdr:col>25</xdr:col>
      <xdr:colOff>91440</xdr:colOff>
      <xdr:row>42</xdr:row>
      <xdr:rowOff>198120</xdr:rowOff>
    </xdr:to>
    <xdr:sp macro="" textlink="">
      <xdr:nvSpPr>
        <xdr:cNvPr id="37" name="Rectangle: Rounded Corners 36">
          <a:extLst>
            <a:ext uri="{FF2B5EF4-FFF2-40B4-BE49-F238E27FC236}">
              <a16:creationId xmlns:a16="http://schemas.microsoft.com/office/drawing/2014/main" id="{45EABBB9-2020-409B-902A-3DC884B029C5}"/>
            </a:ext>
          </a:extLst>
        </xdr:cNvPr>
        <xdr:cNvSpPr/>
      </xdr:nvSpPr>
      <xdr:spPr>
        <a:xfrm>
          <a:off x="15963900" y="8983980"/>
          <a:ext cx="1318260" cy="3505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rgbClr val="FF0000"/>
              </a:solidFill>
            </a:rPr>
            <a:t>Total Revenue</a:t>
          </a:r>
        </a:p>
      </xdr:txBody>
    </xdr:sp>
    <xdr:clientData/>
  </xdr:twoCellAnchor>
  <xdr:twoCellAnchor>
    <xdr:from>
      <xdr:col>13</xdr:col>
      <xdr:colOff>388620</xdr:colOff>
      <xdr:row>39</xdr:row>
      <xdr:rowOff>160020</xdr:rowOff>
    </xdr:from>
    <xdr:to>
      <xdr:col>14</xdr:col>
      <xdr:colOff>449580</xdr:colOff>
      <xdr:row>41</xdr:row>
      <xdr:rowOff>53340</xdr:rowOff>
    </xdr:to>
    <xdr:sp macro="" textlink="">
      <xdr:nvSpPr>
        <xdr:cNvPr id="39" name="Rectangle: Rounded Corners 38">
          <a:extLst>
            <a:ext uri="{FF2B5EF4-FFF2-40B4-BE49-F238E27FC236}">
              <a16:creationId xmlns:a16="http://schemas.microsoft.com/office/drawing/2014/main" id="{5C62C63A-FB2F-408B-961C-425772343D1D}"/>
            </a:ext>
          </a:extLst>
        </xdr:cNvPr>
        <xdr:cNvSpPr/>
      </xdr:nvSpPr>
      <xdr:spPr>
        <a:xfrm>
          <a:off x="9616440" y="8610600"/>
          <a:ext cx="1318260" cy="3505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Conversion Rate</a:t>
          </a:r>
          <a:r>
            <a:rPr lang="en-IN" sz="1100" baseline="0"/>
            <a:t> %</a:t>
          </a:r>
          <a:endParaRPr lang="en-IN" sz="1100"/>
        </a:p>
      </xdr:txBody>
    </xdr:sp>
    <xdr:clientData/>
  </xdr:twoCellAnchor>
  <xdr:twoCellAnchor>
    <xdr:from>
      <xdr:col>25</xdr:col>
      <xdr:colOff>121920</xdr:colOff>
      <xdr:row>39</xdr:row>
      <xdr:rowOff>129540</xdr:rowOff>
    </xdr:from>
    <xdr:to>
      <xdr:col>27</xdr:col>
      <xdr:colOff>220980</xdr:colOff>
      <xdr:row>41</xdr:row>
      <xdr:rowOff>22860</xdr:rowOff>
    </xdr:to>
    <xdr:sp macro="" textlink="">
      <xdr:nvSpPr>
        <xdr:cNvPr id="40" name="Rectangle: Rounded Corners 39">
          <a:extLst>
            <a:ext uri="{FF2B5EF4-FFF2-40B4-BE49-F238E27FC236}">
              <a16:creationId xmlns:a16="http://schemas.microsoft.com/office/drawing/2014/main" id="{4800E476-E8FC-4768-8E97-67F40487F7EB}"/>
            </a:ext>
          </a:extLst>
        </xdr:cNvPr>
        <xdr:cNvSpPr/>
      </xdr:nvSpPr>
      <xdr:spPr>
        <a:xfrm>
          <a:off x="17312640" y="8580120"/>
          <a:ext cx="1318260" cy="3505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Conversion Rate</a:t>
          </a:r>
          <a:r>
            <a:rPr lang="en-IN" sz="1100" baseline="0"/>
            <a:t> %</a:t>
          </a:r>
          <a:endParaRPr lang="en-IN" sz="1100"/>
        </a:p>
      </xdr:txBody>
    </xdr:sp>
    <xdr:clientData/>
  </xdr:twoCellAnchor>
  <xdr:twoCellAnchor>
    <xdr:from>
      <xdr:col>14</xdr:col>
      <xdr:colOff>594360</xdr:colOff>
      <xdr:row>39</xdr:row>
      <xdr:rowOff>175260</xdr:rowOff>
    </xdr:from>
    <xdr:to>
      <xdr:col>17</xdr:col>
      <xdr:colOff>83820</xdr:colOff>
      <xdr:row>41</xdr:row>
      <xdr:rowOff>68580</xdr:rowOff>
    </xdr:to>
    <xdr:sp macro="" textlink="">
      <xdr:nvSpPr>
        <xdr:cNvPr id="41" name="Rectangle: Rounded Corners 40">
          <a:extLst>
            <a:ext uri="{FF2B5EF4-FFF2-40B4-BE49-F238E27FC236}">
              <a16:creationId xmlns:a16="http://schemas.microsoft.com/office/drawing/2014/main" id="{28E60E7D-EFE6-42A7-BF92-39AD9FD34131}"/>
            </a:ext>
          </a:extLst>
        </xdr:cNvPr>
        <xdr:cNvSpPr/>
      </xdr:nvSpPr>
      <xdr:spPr>
        <a:xfrm>
          <a:off x="11079480" y="8625840"/>
          <a:ext cx="1318260" cy="3505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100">
              <a:solidFill>
                <a:schemeClr val="lt1"/>
              </a:solidFill>
              <a:effectLst/>
              <a:latin typeface="+mn-lt"/>
              <a:ea typeface="+mn-ea"/>
              <a:cs typeface="+mn-cs"/>
            </a:rPr>
            <a:t>Overall ROI</a:t>
          </a:r>
          <a:endParaRPr lang="en-IN">
            <a:effectLst/>
          </a:endParaRPr>
        </a:p>
        <a:p>
          <a:pPr algn="l"/>
          <a:endParaRPr lang="en-IN" sz="1100"/>
        </a:p>
      </xdr:txBody>
    </xdr:sp>
    <xdr:clientData/>
  </xdr:twoCellAnchor>
  <xdr:twoCellAnchor>
    <xdr:from>
      <xdr:col>18</xdr:col>
      <xdr:colOff>60960</xdr:colOff>
      <xdr:row>41</xdr:row>
      <xdr:rowOff>60960</xdr:rowOff>
    </xdr:from>
    <xdr:to>
      <xdr:col>20</xdr:col>
      <xdr:colOff>205740</xdr:colOff>
      <xdr:row>42</xdr:row>
      <xdr:rowOff>182880</xdr:rowOff>
    </xdr:to>
    <xdr:sp macro="" textlink="">
      <xdr:nvSpPr>
        <xdr:cNvPr id="42" name="Rectangle: Rounded Corners 41">
          <a:extLst>
            <a:ext uri="{FF2B5EF4-FFF2-40B4-BE49-F238E27FC236}">
              <a16:creationId xmlns:a16="http://schemas.microsoft.com/office/drawing/2014/main" id="{D1F3144B-9A60-4DDA-B312-AB4F04D0115C}"/>
            </a:ext>
          </a:extLst>
        </xdr:cNvPr>
        <xdr:cNvSpPr/>
      </xdr:nvSpPr>
      <xdr:spPr>
        <a:xfrm>
          <a:off x="12984480" y="8968740"/>
          <a:ext cx="1363980" cy="3505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100">
              <a:solidFill>
                <a:schemeClr val="lt1"/>
              </a:solidFill>
              <a:effectLst/>
              <a:latin typeface="+mn-lt"/>
              <a:ea typeface="+mn-ea"/>
              <a:cs typeface="+mn-cs"/>
            </a:rPr>
            <a:t>Overall ROI</a:t>
          </a:r>
          <a:endParaRPr lang="en-IN">
            <a:effectLst/>
          </a:endParaRPr>
        </a:p>
        <a:p>
          <a:pPr algn="l"/>
          <a:endParaRPr lang="en-IN" sz="1100"/>
        </a:p>
      </xdr:txBody>
    </xdr:sp>
    <xdr:clientData/>
  </xdr:twoCellAnchor>
  <xdr:twoCellAnchor>
    <xdr:from>
      <xdr:col>20</xdr:col>
      <xdr:colOff>358140</xdr:colOff>
      <xdr:row>41</xdr:row>
      <xdr:rowOff>83820</xdr:rowOff>
    </xdr:from>
    <xdr:to>
      <xdr:col>22</xdr:col>
      <xdr:colOff>457200</xdr:colOff>
      <xdr:row>42</xdr:row>
      <xdr:rowOff>205740</xdr:rowOff>
    </xdr:to>
    <xdr:sp macro="" textlink="">
      <xdr:nvSpPr>
        <xdr:cNvPr id="43" name="Rectangle: Rounded Corners 42">
          <a:extLst>
            <a:ext uri="{FF2B5EF4-FFF2-40B4-BE49-F238E27FC236}">
              <a16:creationId xmlns:a16="http://schemas.microsoft.com/office/drawing/2014/main" id="{EDF01270-7F40-4899-A2A5-5BC783163812}"/>
            </a:ext>
          </a:extLst>
        </xdr:cNvPr>
        <xdr:cNvSpPr/>
      </xdr:nvSpPr>
      <xdr:spPr>
        <a:xfrm>
          <a:off x="14500860" y="8991600"/>
          <a:ext cx="1318260" cy="3505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rgbClr val="FF0000"/>
              </a:solidFill>
            </a:rPr>
            <a:t>ToTal</a:t>
          </a:r>
          <a:r>
            <a:rPr lang="en-IN" sz="1100" baseline="0">
              <a:solidFill>
                <a:srgbClr val="FF0000"/>
              </a:solidFill>
            </a:rPr>
            <a:t> Spend </a:t>
          </a:r>
          <a:endParaRPr lang="en-IN" sz="1100">
            <a:solidFill>
              <a:srgbClr val="FF0000"/>
            </a:solidFill>
          </a:endParaRPr>
        </a:p>
      </xdr:txBody>
    </xdr:sp>
    <xdr:clientData/>
  </xdr:twoCellAnchor>
  <xdr:twoCellAnchor>
    <xdr:from>
      <xdr:col>11</xdr:col>
      <xdr:colOff>45720</xdr:colOff>
      <xdr:row>41</xdr:row>
      <xdr:rowOff>121920</xdr:rowOff>
    </xdr:from>
    <xdr:to>
      <xdr:col>17</xdr:col>
      <xdr:colOff>91440</xdr:colOff>
      <xdr:row>48</xdr:row>
      <xdr:rowOff>76200</xdr:rowOff>
    </xdr:to>
    <xdr:sp macro="" textlink="">
      <xdr:nvSpPr>
        <xdr:cNvPr id="44" name="Rectangle 43">
          <a:extLst>
            <a:ext uri="{FF2B5EF4-FFF2-40B4-BE49-F238E27FC236}">
              <a16:creationId xmlns:a16="http://schemas.microsoft.com/office/drawing/2014/main" id="{054DF3D3-B608-489B-A4D1-A0A7F9399C4C}"/>
            </a:ext>
          </a:extLst>
        </xdr:cNvPr>
        <xdr:cNvSpPr/>
      </xdr:nvSpPr>
      <xdr:spPr>
        <a:xfrm>
          <a:off x="6751320" y="9029700"/>
          <a:ext cx="5654040" cy="1554480"/>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ln>
                <a:solidFill>
                  <a:sysClr val="windowText" lastClr="000000"/>
                </a:solidFill>
              </a:ln>
            </a:rPr>
            <a:t>ROI</a:t>
          </a:r>
          <a:r>
            <a:rPr lang="en-IN" sz="1100" baseline="0">
              <a:ln>
                <a:solidFill>
                  <a:sysClr val="windowText" lastClr="000000"/>
                </a:solidFill>
              </a:ln>
            </a:rPr>
            <a:t> by Product      Spend , Revenue by Product,   </a:t>
          </a:r>
          <a:r>
            <a:rPr lang="en-IN" sz="1100" b="1" baseline="0">
              <a:solidFill>
                <a:srgbClr val="FF0000"/>
              </a:solidFill>
              <a:effectLst/>
              <a:latin typeface="+mn-lt"/>
              <a:ea typeface="+mn-ea"/>
              <a:cs typeface="+mn-cs"/>
            </a:rPr>
            <a:t>Spend , Revenue by  Quarter</a:t>
          </a:r>
          <a:r>
            <a:rPr lang="en-IN" sz="1100" b="1" baseline="0">
              <a:solidFill>
                <a:sysClr val="windowText" lastClr="000000"/>
              </a:solidFill>
              <a:effectLst/>
              <a:latin typeface="+mn-lt"/>
              <a:ea typeface="+mn-ea"/>
              <a:cs typeface="+mn-cs"/>
            </a:rPr>
            <a:t>,   Conversion Rate % by  Product,   Revenue Per dollar Spent by Product</a:t>
          </a:r>
        </a:p>
        <a:p>
          <a:pPr algn="l"/>
          <a:endParaRPr lang="en-IN" sz="1100" b="1">
            <a:ln>
              <a:solidFill>
                <a:sysClr val="windowText" lastClr="000000"/>
              </a:solidFill>
            </a:ln>
            <a:solidFill>
              <a:sysClr val="windowText" lastClr="000000"/>
            </a:solidFill>
          </a:endParaRPr>
        </a:p>
      </xdr:txBody>
    </xdr:sp>
    <xdr:clientData/>
  </xdr:twoCellAnchor>
  <xdr:twoCellAnchor>
    <xdr:from>
      <xdr:col>18</xdr:col>
      <xdr:colOff>15240</xdr:colOff>
      <xdr:row>42</xdr:row>
      <xdr:rowOff>167640</xdr:rowOff>
    </xdr:from>
    <xdr:to>
      <xdr:col>27</xdr:col>
      <xdr:colOff>190500</xdr:colOff>
      <xdr:row>48</xdr:row>
      <xdr:rowOff>137160</xdr:rowOff>
    </xdr:to>
    <xdr:sp macro="" textlink="">
      <xdr:nvSpPr>
        <xdr:cNvPr id="83" name="Rectangle 44">
          <a:extLst>
            <a:ext uri="{FF2B5EF4-FFF2-40B4-BE49-F238E27FC236}">
              <a16:creationId xmlns:a16="http://schemas.microsoft.com/office/drawing/2014/main" id="{8540D573-C805-456C-9EE7-13D93D0F96DF}"/>
            </a:ext>
          </a:extLst>
        </xdr:cNvPr>
        <xdr:cNvSpPr/>
      </xdr:nvSpPr>
      <xdr:spPr>
        <a:xfrm>
          <a:off x="12938760" y="9304020"/>
          <a:ext cx="5661660" cy="1341120"/>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ln>
                <a:solidFill>
                  <a:sysClr val="windowText" lastClr="000000"/>
                </a:solidFill>
              </a:ln>
              <a:solidFill>
                <a:schemeClr val="accent2"/>
              </a:solidFill>
            </a:rPr>
            <a:t>Total</a:t>
          </a:r>
          <a:r>
            <a:rPr lang="en-IN" sz="1100" baseline="0">
              <a:ln>
                <a:solidFill>
                  <a:sysClr val="windowText" lastClr="000000"/>
                </a:solidFill>
              </a:ln>
              <a:solidFill>
                <a:schemeClr val="accent2"/>
              </a:solidFill>
            </a:rPr>
            <a:t> Impressions,Clicks, Conversions by  Channel  </a:t>
          </a:r>
          <a:r>
            <a:rPr lang="en-IN" sz="1100" baseline="0">
              <a:ln>
                <a:solidFill>
                  <a:sysClr val="windowText" lastClr="000000"/>
                </a:solidFill>
              </a:ln>
            </a:rPr>
            <a:t>, </a:t>
          </a:r>
          <a:r>
            <a:rPr lang="en-IN" sz="1200" b="1" baseline="0">
              <a:solidFill>
                <a:sysClr val="windowText" lastClr="000000"/>
              </a:solidFill>
              <a:effectLst/>
              <a:latin typeface="+mn-lt"/>
              <a:ea typeface="+mn-ea"/>
              <a:cs typeface="+mn-cs"/>
            </a:rPr>
            <a:t>Conversion Rate % by  Channel,</a:t>
          </a:r>
          <a:r>
            <a:rPr lang="en-IN" sz="1200" b="1" baseline="0">
              <a:ln>
                <a:solidFill>
                  <a:sysClr val="windowText" lastClr="000000"/>
                </a:solidFill>
              </a:ln>
              <a:solidFill>
                <a:sysClr val="windowText" lastClr="000000"/>
              </a:solidFill>
            </a:rPr>
            <a:t> </a:t>
          </a:r>
          <a:r>
            <a:rPr lang="en-IN" sz="1100">
              <a:ln>
                <a:solidFill>
                  <a:sysClr val="windowText" lastClr="000000"/>
                </a:solidFill>
              </a:ln>
            </a:rPr>
            <a:t>ROI</a:t>
          </a:r>
          <a:r>
            <a:rPr lang="en-IN" sz="1100" baseline="0">
              <a:ln>
                <a:solidFill>
                  <a:sysClr val="windowText" lastClr="000000"/>
                </a:solidFill>
              </a:ln>
            </a:rPr>
            <a:t> by Channel </a:t>
          </a:r>
          <a:r>
            <a:rPr lang="en-IN" sz="1100" baseline="0">
              <a:ln>
                <a:solidFill>
                  <a:sysClr val="windowText" lastClr="000000"/>
                </a:solidFill>
              </a:ln>
              <a:solidFill>
                <a:srgbClr val="FF0000"/>
              </a:solidFill>
            </a:rPr>
            <a:t>,     </a:t>
          </a:r>
          <a:r>
            <a:rPr lang="en-IN" sz="1100" b="1" baseline="0">
              <a:solidFill>
                <a:sysClr val="windowText" lastClr="000000"/>
              </a:solidFill>
              <a:effectLst/>
              <a:latin typeface="+mn-lt"/>
              <a:ea typeface="+mn-ea"/>
              <a:cs typeface="+mn-cs"/>
            </a:rPr>
            <a:t>Spend , Revenue by Channel</a:t>
          </a:r>
          <a:r>
            <a:rPr lang="en-IN" sz="1100" baseline="0">
              <a:ln>
                <a:solidFill>
                  <a:sysClr val="windowText" lastClr="000000"/>
                </a:solidFill>
              </a:ln>
              <a:solidFill>
                <a:srgbClr val="FF0000"/>
              </a:solidFill>
            </a:rPr>
            <a:t>,</a:t>
          </a:r>
          <a:r>
            <a:rPr lang="en-IN" sz="1100" baseline="0">
              <a:ln>
                <a:solidFill>
                  <a:sysClr val="windowText" lastClr="000000"/>
                </a:solidFill>
              </a:ln>
            </a:rPr>
            <a:t>   </a:t>
          </a:r>
          <a:r>
            <a:rPr lang="en-IN" sz="1100" b="1" baseline="0">
              <a:solidFill>
                <a:srgbClr val="FF0000"/>
              </a:solidFill>
              <a:effectLst/>
              <a:latin typeface="+mn-lt"/>
              <a:ea typeface="+mn-ea"/>
              <a:cs typeface="+mn-cs"/>
            </a:rPr>
            <a:t>Spend , Revenue by  Quarter</a:t>
          </a:r>
          <a:r>
            <a:rPr lang="en-IN" sz="1100" b="1" baseline="0">
              <a:solidFill>
                <a:sysClr val="windowText" lastClr="000000"/>
              </a:solidFill>
              <a:effectLst/>
              <a:latin typeface="+mn-lt"/>
              <a:ea typeface="+mn-ea"/>
              <a:cs typeface="+mn-cs"/>
            </a:rPr>
            <a:t>,   Revenue Per dollar Spent by Channel, CTR, CPC by Channel</a:t>
          </a:r>
        </a:p>
        <a:p>
          <a:pPr algn="l"/>
          <a:endParaRPr lang="en-IN" sz="1100" b="1">
            <a:ln>
              <a:solidFill>
                <a:sysClr val="windowText" lastClr="000000"/>
              </a:solidFill>
            </a:ln>
            <a:solidFill>
              <a:sysClr val="windowText" lastClr="000000"/>
            </a:solidFill>
          </a:endParaRPr>
        </a:p>
      </xdr:txBody>
    </xdr:sp>
    <xdr:clientData/>
  </xdr:twoCellAnchor>
  <xdr:twoCellAnchor>
    <xdr:from>
      <xdr:col>13</xdr:col>
      <xdr:colOff>495300</xdr:colOff>
      <xdr:row>28</xdr:row>
      <xdr:rowOff>129540</xdr:rowOff>
    </xdr:from>
    <xdr:to>
      <xdr:col>17</xdr:col>
      <xdr:colOff>129540</xdr:colOff>
      <xdr:row>30</xdr:row>
      <xdr:rowOff>167640</xdr:rowOff>
    </xdr:to>
    <xdr:sp macro="" textlink="">
      <xdr:nvSpPr>
        <xdr:cNvPr id="46" name="Rectangle: Rounded Corners 45">
          <a:extLst>
            <a:ext uri="{FF2B5EF4-FFF2-40B4-BE49-F238E27FC236}">
              <a16:creationId xmlns:a16="http://schemas.microsoft.com/office/drawing/2014/main" id="{218F7B12-57F8-C55F-2FC9-4CEFA8D6249B}"/>
            </a:ext>
          </a:extLst>
        </xdr:cNvPr>
        <xdr:cNvSpPr/>
      </xdr:nvSpPr>
      <xdr:spPr>
        <a:xfrm>
          <a:off x="9723120" y="6065520"/>
          <a:ext cx="2720340" cy="495300"/>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251460</xdr:colOff>
      <xdr:row>30</xdr:row>
      <xdr:rowOff>198120</xdr:rowOff>
    </xdr:from>
    <xdr:to>
      <xdr:col>17</xdr:col>
      <xdr:colOff>175260</xdr:colOff>
      <xdr:row>35</xdr:row>
      <xdr:rowOff>114300</xdr:rowOff>
    </xdr:to>
    <xdr:sp macro="" textlink="">
      <xdr:nvSpPr>
        <xdr:cNvPr id="47" name="Rectangle: Rounded Corners 46">
          <a:extLst>
            <a:ext uri="{FF2B5EF4-FFF2-40B4-BE49-F238E27FC236}">
              <a16:creationId xmlns:a16="http://schemas.microsoft.com/office/drawing/2014/main" id="{FF5BEEAF-5191-496E-BA0F-EF2C3B700802}"/>
            </a:ext>
          </a:extLst>
        </xdr:cNvPr>
        <xdr:cNvSpPr/>
      </xdr:nvSpPr>
      <xdr:spPr>
        <a:xfrm>
          <a:off x="10736580" y="6591300"/>
          <a:ext cx="1752600" cy="1059180"/>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1051560</xdr:colOff>
      <xdr:row>30</xdr:row>
      <xdr:rowOff>198120</xdr:rowOff>
    </xdr:from>
    <xdr:to>
      <xdr:col>14</xdr:col>
      <xdr:colOff>220980</xdr:colOff>
      <xdr:row>35</xdr:row>
      <xdr:rowOff>137160</xdr:rowOff>
    </xdr:to>
    <xdr:sp macro="" textlink="">
      <xdr:nvSpPr>
        <xdr:cNvPr id="48" name="Rectangle: Rounded Corners 47">
          <a:extLst>
            <a:ext uri="{FF2B5EF4-FFF2-40B4-BE49-F238E27FC236}">
              <a16:creationId xmlns:a16="http://schemas.microsoft.com/office/drawing/2014/main" id="{6548DE17-CC65-458B-A018-1BFC819EF6AD}"/>
            </a:ext>
          </a:extLst>
        </xdr:cNvPr>
        <xdr:cNvSpPr/>
      </xdr:nvSpPr>
      <xdr:spPr>
        <a:xfrm>
          <a:off x="8763000" y="6591300"/>
          <a:ext cx="1943100" cy="1082040"/>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114300</xdr:colOff>
      <xdr:row>30</xdr:row>
      <xdr:rowOff>198120</xdr:rowOff>
    </xdr:from>
    <xdr:to>
      <xdr:col>12</xdr:col>
      <xdr:colOff>960120</xdr:colOff>
      <xdr:row>35</xdr:row>
      <xdr:rowOff>114300</xdr:rowOff>
    </xdr:to>
    <xdr:sp macro="" textlink="">
      <xdr:nvSpPr>
        <xdr:cNvPr id="49" name="Rectangle: Rounded Corners 48">
          <a:extLst>
            <a:ext uri="{FF2B5EF4-FFF2-40B4-BE49-F238E27FC236}">
              <a16:creationId xmlns:a16="http://schemas.microsoft.com/office/drawing/2014/main" id="{2DF2402F-0695-4666-AF4D-7B34F66B2438}"/>
            </a:ext>
          </a:extLst>
        </xdr:cNvPr>
        <xdr:cNvSpPr/>
      </xdr:nvSpPr>
      <xdr:spPr>
        <a:xfrm>
          <a:off x="6819900" y="6591300"/>
          <a:ext cx="1851660" cy="1059180"/>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297180</xdr:colOff>
      <xdr:row>39</xdr:row>
      <xdr:rowOff>160020</xdr:rowOff>
    </xdr:from>
    <xdr:to>
      <xdr:col>22</xdr:col>
      <xdr:colOff>426720</xdr:colOff>
      <xdr:row>41</xdr:row>
      <xdr:rowOff>38100</xdr:rowOff>
    </xdr:to>
    <xdr:sp macro="" textlink="">
      <xdr:nvSpPr>
        <xdr:cNvPr id="50" name="Rectangle: Rounded Corners 49">
          <a:extLst>
            <a:ext uri="{FF2B5EF4-FFF2-40B4-BE49-F238E27FC236}">
              <a16:creationId xmlns:a16="http://schemas.microsoft.com/office/drawing/2014/main" id="{24E1F2EA-5786-CAA7-E370-AE50C5422EDE}"/>
            </a:ext>
          </a:extLst>
        </xdr:cNvPr>
        <xdr:cNvSpPr/>
      </xdr:nvSpPr>
      <xdr:spPr>
        <a:xfrm>
          <a:off x="14439900" y="8610600"/>
          <a:ext cx="1348740" cy="3352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a:t>CTR</a:t>
          </a:r>
          <a:r>
            <a:rPr lang="en-IN" sz="1100"/>
            <a:t> </a:t>
          </a:r>
        </a:p>
      </xdr:txBody>
    </xdr:sp>
    <xdr:clientData/>
  </xdr:twoCellAnchor>
  <xdr:twoCellAnchor>
    <xdr:from>
      <xdr:col>22</xdr:col>
      <xdr:colOff>541020</xdr:colOff>
      <xdr:row>39</xdr:row>
      <xdr:rowOff>152400</xdr:rowOff>
    </xdr:from>
    <xdr:to>
      <xdr:col>25</xdr:col>
      <xdr:colOff>60960</xdr:colOff>
      <xdr:row>41</xdr:row>
      <xdr:rowOff>30480</xdr:rowOff>
    </xdr:to>
    <xdr:sp macro="" textlink="">
      <xdr:nvSpPr>
        <xdr:cNvPr id="51" name="Rectangle: Rounded Corners 50">
          <a:extLst>
            <a:ext uri="{FF2B5EF4-FFF2-40B4-BE49-F238E27FC236}">
              <a16:creationId xmlns:a16="http://schemas.microsoft.com/office/drawing/2014/main" id="{D6C357E8-7075-4D6F-A3B8-C33C2036CC1A}"/>
            </a:ext>
          </a:extLst>
        </xdr:cNvPr>
        <xdr:cNvSpPr/>
      </xdr:nvSpPr>
      <xdr:spPr>
        <a:xfrm>
          <a:off x="15902940" y="8602980"/>
          <a:ext cx="1348740" cy="3352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a:t>CPC</a:t>
          </a:r>
          <a:endParaRPr lang="en-IN" sz="1100"/>
        </a:p>
      </xdr:txBody>
    </xdr:sp>
    <xdr:clientData/>
  </xdr:twoCellAnchor>
  <xdr:twoCellAnchor>
    <xdr:from>
      <xdr:col>18</xdr:col>
      <xdr:colOff>76200</xdr:colOff>
      <xdr:row>39</xdr:row>
      <xdr:rowOff>144780</xdr:rowOff>
    </xdr:from>
    <xdr:to>
      <xdr:col>20</xdr:col>
      <xdr:colOff>205740</xdr:colOff>
      <xdr:row>41</xdr:row>
      <xdr:rowOff>22860</xdr:rowOff>
    </xdr:to>
    <xdr:sp macro="" textlink="">
      <xdr:nvSpPr>
        <xdr:cNvPr id="52" name="Rectangle: Rounded Corners 51">
          <a:extLst>
            <a:ext uri="{FF2B5EF4-FFF2-40B4-BE49-F238E27FC236}">
              <a16:creationId xmlns:a16="http://schemas.microsoft.com/office/drawing/2014/main" id="{B8A0375F-EF65-472E-8A6C-329E97E2F98C}"/>
            </a:ext>
          </a:extLst>
        </xdr:cNvPr>
        <xdr:cNvSpPr/>
      </xdr:nvSpPr>
      <xdr:spPr>
        <a:xfrm>
          <a:off x="12999720" y="8595360"/>
          <a:ext cx="1348740" cy="3352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Total Impressions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121</xdr:row>
      <xdr:rowOff>66675</xdr:rowOff>
    </xdr:from>
    <xdr:to>
      <xdr:col>4</xdr:col>
      <xdr:colOff>285750</xdr:colOff>
      <xdr:row>132</xdr:row>
      <xdr:rowOff>114300</xdr:rowOff>
    </xdr:to>
    <xdr:graphicFrame macro="">
      <xdr:nvGraphicFramePr>
        <xdr:cNvPr id="5" name="Chart 4">
          <a:extLst>
            <a:ext uri="{FF2B5EF4-FFF2-40B4-BE49-F238E27FC236}">
              <a16:creationId xmlns:a16="http://schemas.microsoft.com/office/drawing/2014/main" id="{E5EF2195-2004-5257-E5BE-A9021E2A77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990600</xdr:colOff>
      <xdr:row>121</xdr:row>
      <xdr:rowOff>66675</xdr:rowOff>
    </xdr:from>
    <xdr:to>
      <xdr:col>9</xdr:col>
      <xdr:colOff>76200</xdr:colOff>
      <xdr:row>131</xdr:row>
      <xdr:rowOff>152400</xdr:rowOff>
    </xdr:to>
    <xdr:graphicFrame macro="">
      <xdr:nvGraphicFramePr>
        <xdr:cNvPr id="6" name="Chart 5">
          <a:extLst>
            <a:ext uri="{FF2B5EF4-FFF2-40B4-BE49-F238E27FC236}">
              <a16:creationId xmlns:a16="http://schemas.microsoft.com/office/drawing/2014/main" id="{9E37A22F-EE6A-BB56-79B2-42E15E074307}"/>
            </a:ext>
            <a:ext uri="{147F2762-F138-4A5C-976F-8EAC2B608ADB}">
              <a16:predDERef xmlns:a16="http://schemas.microsoft.com/office/drawing/2014/main" pred="{E5EF2195-2004-5257-E5BE-A9021E2A77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276225</xdr:colOff>
      <xdr:row>121</xdr:row>
      <xdr:rowOff>38100</xdr:rowOff>
    </xdr:from>
    <xdr:to>
      <xdr:col>14</xdr:col>
      <xdr:colOff>219075</xdr:colOff>
      <xdr:row>131</xdr:row>
      <xdr:rowOff>114300</xdr:rowOff>
    </xdr:to>
    <xdr:graphicFrame macro="">
      <xdr:nvGraphicFramePr>
        <xdr:cNvPr id="7" name="Chart 6">
          <a:extLst>
            <a:ext uri="{FF2B5EF4-FFF2-40B4-BE49-F238E27FC236}">
              <a16:creationId xmlns:a16="http://schemas.microsoft.com/office/drawing/2014/main" id="{7D3F7672-5C8D-2F47-E7D4-822466AD5ABB}"/>
            </a:ext>
            <a:ext uri="{147F2762-F138-4A5C-976F-8EAC2B608ADB}">
              <a16:predDERef xmlns:a16="http://schemas.microsoft.com/office/drawing/2014/main" pred="{9E37A22F-EE6A-BB56-79B2-42E15E0743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962026</xdr:colOff>
      <xdr:row>52</xdr:row>
      <xdr:rowOff>9525</xdr:rowOff>
    </xdr:from>
    <xdr:to>
      <xdr:col>17</xdr:col>
      <xdr:colOff>575310</xdr:colOff>
      <xdr:row>59</xdr:row>
      <xdr:rowOff>32385</xdr:rowOff>
    </xdr:to>
    <mc:AlternateContent xmlns:mc="http://schemas.openxmlformats.org/markup-compatibility/2006" xmlns:a14="http://schemas.microsoft.com/office/drawing/2010/main">
      <mc:Choice Requires="a14">
        <xdr:graphicFrame macro="">
          <xdr:nvGraphicFramePr>
            <xdr:cNvPr id="14" name="Region">
              <a:extLst>
                <a:ext uri="{FF2B5EF4-FFF2-40B4-BE49-F238E27FC236}">
                  <a16:creationId xmlns:a16="http://schemas.microsoft.com/office/drawing/2014/main" id="{9B515B92-AABC-2AE7-A6BD-A37DD3428061}"/>
                </a:ext>
                <a:ext uri="{147F2762-F138-4A5C-976F-8EAC2B608ADB}">
                  <a16:predDERef xmlns:a16="http://schemas.microsoft.com/office/drawing/2014/main" pred="{7D3F7672-5C8D-2F47-E7D4-822466AD5AB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658350" y="2733675"/>
              <a:ext cx="1409700" cy="12668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14</xdr:col>
      <xdr:colOff>476250</xdr:colOff>
      <xdr:row>51</xdr:row>
      <xdr:rowOff>171450</xdr:rowOff>
    </xdr:from>
    <xdr:to>
      <xdr:col>16</xdr:col>
      <xdr:colOff>432435</xdr:colOff>
      <xdr:row>58</xdr:row>
      <xdr:rowOff>133350</xdr:rowOff>
    </xdr:to>
    <mc:AlternateContent xmlns:mc="http://schemas.openxmlformats.org/markup-compatibility/2006" xmlns:a14="http://schemas.microsoft.com/office/drawing/2010/main">
      <mc:Choice Requires="a14">
        <xdr:graphicFrame macro="">
          <xdr:nvGraphicFramePr>
            <xdr:cNvPr id="12" name="Product">
              <a:extLst>
                <a:ext uri="{FF2B5EF4-FFF2-40B4-BE49-F238E27FC236}">
                  <a16:creationId xmlns:a16="http://schemas.microsoft.com/office/drawing/2014/main" id="{C9B093CD-5ED7-B0FF-FA19-4FF1F041A7E5}"/>
                </a:ext>
                <a:ext uri="{147F2762-F138-4A5C-976F-8EAC2B608ADB}">
                  <a16:predDERef xmlns:a16="http://schemas.microsoft.com/office/drawing/2014/main" pred="{9B515B92-AABC-2AE7-A6BD-A37DD3428061}"/>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7724775" y="2781300"/>
              <a:ext cx="1428750" cy="136207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15</xdr:col>
      <xdr:colOff>1034414</xdr:colOff>
      <xdr:row>44</xdr:row>
      <xdr:rowOff>179070</xdr:rowOff>
    </xdr:from>
    <xdr:to>
      <xdr:col>17</xdr:col>
      <xdr:colOff>611504</xdr:colOff>
      <xdr:row>51</xdr:row>
      <xdr:rowOff>123825</xdr:rowOff>
    </xdr:to>
    <mc:AlternateContent xmlns:mc="http://schemas.openxmlformats.org/markup-compatibility/2006" xmlns:a14="http://schemas.microsoft.com/office/drawing/2010/main">
      <mc:Choice Requires="a14">
        <xdr:graphicFrame macro="">
          <xdr:nvGraphicFramePr>
            <xdr:cNvPr id="16" name="Channel">
              <a:extLst>
                <a:ext uri="{FF2B5EF4-FFF2-40B4-BE49-F238E27FC236}">
                  <a16:creationId xmlns:a16="http://schemas.microsoft.com/office/drawing/2014/main" id="{EFFA7D03-CE20-96C4-6DC6-3B200DC77F30}"/>
                </a:ext>
                <a:ext uri="{147F2762-F138-4A5C-976F-8EAC2B608ADB}">
                  <a16:predDERef xmlns:a16="http://schemas.microsoft.com/office/drawing/2014/main" pred="{C9B093CD-5ED7-B0FF-FA19-4FF1F041A7E5}"/>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10561319" y="8780145"/>
              <a:ext cx="1426845" cy="12706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476250</xdr:colOff>
      <xdr:row>45</xdr:row>
      <xdr:rowOff>0</xdr:rowOff>
    </xdr:from>
    <xdr:to>
      <xdr:col>16</xdr:col>
      <xdr:colOff>422910</xdr:colOff>
      <xdr:row>51</xdr:row>
      <xdr:rowOff>114300</xdr:rowOff>
    </xdr:to>
    <mc:AlternateContent xmlns:mc="http://schemas.openxmlformats.org/markup-compatibility/2006" xmlns:a14="http://schemas.microsoft.com/office/drawing/2010/main">
      <mc:Choice Requires="a14">
        <xdr:graphicFrame macro="">
          <xdr:nvGraphicFramePr>
            <xdr:cNvPr id="13" name="Quarter">
              <a:extLst>
                <a:ext uri="{FF2B5EF4-FFF2-40B4-BE49-F238E27FC236}">
                  <a16:creationId xmlns:a16="http://schemas.microsoft.com/office/drawing/2014/main" id="{B8C0FD54-0AF1-F205-4375-DC6C0D4A0A05}"/>
                </a:ext>
                <a:ext uri="{147F2762-F138-4A5C-976F-8EAC2B608ADB}">
                  <a16:predDERef xmlns:a16="http://schemas.microsoft.com/office/drawing/2014/main" pred="{EFFA7D03-CE20-96C4-6DC6-3B200DC77F30}"/>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8921115" y="8795385"/>
              <a:ext cx="1586865" cy="12553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31</xdr:col>
      <xdr:colOff>333375</xdr:colOff>
      <xdr:row>1</xdr:row>
      <xdr:rowOff>0</xdr:rowOff>
    </xdr:from>
    <xdr:to>
      <xdr:col>35</xdr:col>
      <xdr:colOff>600075</xdr:colOff>
      <xdr:row>12</xdr:row>
      <xdr:rowOff>76200</xdr:rowOff>
    </xdr:to>
    <xdr:graphicFrame macro="">
      <xdr:nvGraphicFramePr>
        <xdr:cNvPr id="2" name="Chart 1">
          <a:extLst>
            <a:ext uri="{FF2B5EF4-FFF2-40B4-BE49-F238E27FC236}">
              <a16:creationId xmlns:a16="http://schemas.microsoft.com/office/drawing/2014/main" id="{0C402E9E-2A87-BE2E-8A01-DD89BAA263B5}"/>
            </a:ext>
            <a:ext uri="{147F2762-F138-4A5C-976F-8EAC2B608ADB}">
              <a16:predDERef xmlns:a16="http://schemas.microsoft.com/office/drawing/2014/main" pred="{B8C0FD54-0AF1-F205-4375-DC6C0D4A0A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36</xdr:col>
      <xdr:colOff>152400</xdr:colOff>
      <xdr:row>1</xdr:row>
      <xdr:rowOff>0</xdr:rowOff>
    </xdr:from>
    <xdr:to>
      <xdr:col>42</xdr:col>
      <xdr:colOff>180975</xdr:colOff>
      <xdr:row>12</xdr:row>
      <xdr:rowOff>114300</xdr:rowOff>
    </xdr:to>
    <xdr:graphicFrame macro="">
      <xdr:nvGraphicFramePr>
        <xdr:cNvPr id="3" name="Chart 2">
          <a:extLst>
            <a:ext uri="{FF2B5EF4-FFF2-40B4-BE49-F238E27FC236}">
              <a16:creationId xmlns:a16="http://schemas.microsoft.com/office/drawing/2014/main" id="{B09A60BA-DE17-EE3C-91D7-DC1D7D033C1E}"/>
            </a:ext>
            <a:ext uri="{147F2762-F138-4A5C-976F-8EAC2B608ADB}">
              <a16:predDERef xmlns:a16="http://schemas.microsoft.com/office/drawing/2014/main" pred="{0C402E9E-2A87-BE2E-8A01-DD89BAA263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48</xdr:col>
      <xdr:colOff>228600</xdr:colOff>
      <xdr:row>1</xdr:row>
      <xdr:rowOff>24765</xdr:rowOff>
    </xdr:from>
    <xdr:to>
      <xdr:col>54</xdr:col>
      <xdr:colOff>289560</xdr:colOff>
      <xdr:row>12</xdr:row>
      <xdr:rowOff>1905</xdr:rowOff>
    </xdr:to>
    <xdr:graphicFrame macro="">
      <xdr:nvGraphicFramePr>
        <xdr:cNvPr id="28" name="Chart 26">
          <a:extLst>
            <a:ext uri="{FF2B5EF4-FFF2-40B4-BE49-F238E27FC236}">
              <a16:creationId xmlns:a16="http://schemas.microsoft.com/office/drawing/2014/main" id="{19547F94-3835-BDAF-960B-CDFCD6CA6E93}"/>
            </a:ext>
            <a:ext uri="{147F2762-F138-4A5C-976F-8EAC2B608ADB}">
              <a16:predDERef xmlns:a16="http://schemas.microsoft.com/office/drawing/2014/main" pred="{B09A60BA-DE17-EE3C-91D7-DC1D7D033C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42</xdr:col>
      <xdr:colOff>200025</xdr:colOff>
      <xdr:row>1</xdr:row>
      <xdr:rowOff>9525</xdr:rowOff>
    </xdr:from>
    <xdr:to>
      <xdr:col>48</xdr:col>
      <xdr:colOff>142875</xdr:colOff>
      <xdr:row>12</xdr:row>
      <xdr:rowOff>180975</xdr:rowOff>
    </xdr:to>
    <xdr:graphicFrame macro="">
      <xdr:nvGraphicFramePr>
        <xdr:cNvPr id="4" name="Chart 3">
          <a:extLst>
            <a:ext uri="{FF2B5EF4-FFF2-40B4-BE49-F238E27FC236}">
              <a16:creationId xmlns:a16="http://schemas.microsoft.com/office/drawing/2014/main" id="{6868FF05-BE82-846D-266C-9762F33BDFC3}"/>
            </a:ext>
            <a:ext uri="{147F2762-F138-4A5C-976F-8EAC2B608ADB}">
              <a16:predDERef xmlns:a16="http://schemas.microsoft.com/office/drawing/2014/main" pred="{19547F94-3835-BDAF-960B-CDFCD6CA6E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31</xdr:col>
      <xdr:colOff>142875</xdr:colOff>
      <xdr:row>13</xdr:row>
      <xdr:rowOff>57150</xdr:rowOff>
    </xdr:from>
    <xdr:to>
      <xdr:col>36</xdr:col>
      <xdr:colOff>57150</xdr:colOff>
      <xdr:row>25</xdr:row>
      <xdr:rowOff>38100</xdr:rowOff>
    </xdr:to>
    <xdr:graphicFrame macro="">
      <xdr:nvGraphicFramePr>
        <xdr:cNvPr id="8" name="Chart 7">
          <a:extLst>
            <a:ext uri="{FF2B5EF4-FFF2-40B4-BE49-F238E27FC236}">
              <a16:creationId xmlns:a16="http://schemas.microsoft.com/office/drawing/2014/main" id="{7D3A2864-2098-9A3E-6DB3-9B18BC59928A}"/>
            </a:ext>
            <a:ext uri="{147F2762-F138-4A5C-976F-8EAC2B608ADB}">
              <a16:predDERef xmlns:a16="http://schemas.microsoft.com/office/drawing/2014/main" pred="{6868FF05-BE82-846D-266C-9762F33BDF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36</xdr:col>
      <xdr:colOff>171450</xdr:colOff>
      <xdr:row>13</xdr:row>
      <xdr:rowOff>57150</xdr:rowOff>
    </xdr:from>
    <xdr:to>
      <xdr:col>43</xdr:col>
      <xdr:colOff>28575</xdr:colOff>
      <xdr:row>25</xdr:row>
      <xdr:rowOff>152400</xdr:rowOff>
    </xdr:to>
    <xdr:graphicFrame macro="">
      <xdr:nvGraphicFramePr>
        <xdr:cNvPr id="9" name="Chart 8">
          <a:extLst>
            <a:ext uri="{FF2B5EF4-FFF2-40B4-BE49-F238E27FC236}">
              <a16:creationId xmlns:a16="http://schemas.microsoft.com/office/drawing/2014/main" id="{CCD8528D-2FAF-8F11-6033-3EAF278E90E4}"/>
            </a:ext>
            <a:ext uri="{147F2762-F138-4A5C-976F-8EAC2B608ADB}">
              <a16:predDERef xmlns:a16="http://schemas.microsoft.com/office/drawing/2014/main" pred="{7D3A2864-2098-9A3E-6DB3-9B18BC5992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43</xdr:col>
      <xdr:colOff>114300</xdr:colOff>
      <xdr:row>13</xdr:row>
      <xdr:rowOff>57150</xdr:rowOff>
    </xdr:from>
    <xdr:to>
      <xdr:col>49</xdr:col>
      <xdr:colOff>161925</xdr:colOff>
      <xdr:row>25</xdr:row>
      <xdr:rowOff>104775</xdr:rowOff>
    </xdr:to>
    <xdr:graphicFrame macro="">
      <xdr:nvGraphicFramePr>
        <xdr:cNvPr id="10" name="Chart 9">
          <a:extLst>
            <a:ext uri="{FF2B5EF4-FFF2-40B4-BE49-F238E27FC236}">
              <a16:creationId xmlns:a16="http://schemas.microsoft.com/office/drawing/2014/main" id="{337727F4-B21D-0DB9-DB2E-ED2E64C3391E}"/>
            </a:ext>
            <a:ext uri="{147F2762-F138-4A5C-976F-8EAC2B608ADB}">
              <a16:predDERef xmlns:a16="http://schemas.microsoft.com/office/drawing/2014/main" pred="{CCD8528D-2FAF-8F11-6033-3EAF278E90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49</xdr:col>
      <xdr:colOff>200025</xdr:colOff>
      <xdr:row>13</xdr:row>
      <xdr:rowOff>19050</xdr:rowOff>
    </xdr:from>
    <xdr:to>
      <xdr:col>55</xdr:col>
      <xdr:colOff>342900</xdr:colOff>
      <xdr:row>24</xdr:row>
      <xdr:rowOff>190500</xdr:rowOff>
    </xdr:to>
    <xdr:graphicFrame macro="">
      <xdr:nvGraphicFramePr>
        <xdr:cNvPr id="11" name="Chart 10">
          <a:extLst>
            <a:ext uri="{FF2B5EF4-FFF2-40B4-BE49-F238E27FC236}">
              <a16:creationId xmlns:a16="http://schemas.microsoft.com/office/drawing/2014/main" id="{0375826F-90F6-944D-8178-871C4A355904}"/>
            </a:ext>
            <a:ext uri="{147F2762-F138-4A5C-976F-8EAC2B608ADB}">
              <a16:predDERef xmlns:a16="http://schemas.microsoft.com/office/drawing/2014/main" pred="{337727F4-B21D-0DB9-DB2E-ED2E64C339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36</xdr:col>
      <xdr:colOff>304800</xdr:colOff>
      <xdr:row>26</xdr:row>
      <xdr:rowOff>9525</xdr:rowOff>
    </xdr:from>
    <xdr:to>
      <xdr:col>43</xdr:col>
      <xdr:colOff>47625</xdr:colOff>
      <xdr:row>37</xdr:row>
      <xdr:rowOff>180975</xdr:rowOff>
    </xdr:to>
    <xdr:graphicFrame macro="">
      <xdr:nvGraphicFramePr>
        <xdr:cNvPr id="17" name="Chart 16">
          <a:extLst>
            <a:ext uri="{FF2B5EF4-FFF2-40B4-BE49-F238E27FC236}">
              <a16:creationId xmlns:a16="http://schemas.microsoft.com/office/drawing/2014/main" id="{D9472ECA-2D14-968E-F2CE-3981A0608B6E}"/>
            </a:ext>
            <a:ext uri="{147F2762-F138-4A5C-976F-8EAC2B608ADB}">
              <a16:predDERef xmlns:a16="http://schemas.microsoft.com/office/drawing/2014/main" pred="{0375826F-90F6-944D-8178-871C4A3559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49</xdr:col>
      <xdr:colOff>361950</xdr:colOff>
      <xdr:row>26</xdr:row>
      <xdr:rowOff>9525</xdr:rowOff>
    </xdr:from>
    <xdr:to>
      <xdr:col>56</xdr:col>
      <xdr:colOff>133350</xdr:colOff>
      <xdr:row>37</xdr:row>
      <xdr:rowOff>133350</xdr:rowOff>
    </xdr:to>
    <xdr:graphicFrame macro="">
      <xdr:nvGraphicFramePr>
        <xdr:cNvPr id="18" name="Chart 17">
          <a:extLst>
            <a:ext uri="{FF2B5EF4-FFF2-40B4-BE49-F238E27FC236}">
              <a16:creationId xmlns:a16="http://schemas.microsoft.com/office/drawing/2014/main" id="{3BB3F6E3-F35E-9465-3F51-6651157D2F94}"/>
            </a:ext>
            <a:ext uri="{147F2762-F138-4A5C-976F-8EAC2B608ADB}">
              <a16:predDERef xmlns:a16="http://schemas.microsoft.com/office/drawing/2014/main" pred="{D9472ECA-2D14-968E-F2CE-3981A0608B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43</xdr:col>
      <xdr:colOff>76200</xdr:colOff>
      <xdr:row>25</xdr:row>
      <xdr:rowOff>180975</xdr:rowOff>
    </xdr:from>
    <xdr:to>
      <xdr:col>49</xdr:col>
      <xdr:colOff>276225</xdr:colOff>
      <xdr:row>37</xdr:row>
      <xdr:rowOff>161925</xdr:rowOff>
    </xdr:to>
    <xdr:graphicFrame macro="">
      <xdr:nvGraphicFramePr>
        <xdr:cNvPr id="25" name="Chart 18">
          <a:extLst>
            <a:ext uri="{FF2B5EF4-FFF2-40B4-BE49-F238E27FC236}">
              <a16:creationId xmlns:a16="http://schemas.microsoft.com/office/drawing/2014/main" id="{1EF163D9-D493-EA37-17F5-80908001334D}"/>
            </a:ext>
            <a:ext uri="{147F2762-F138-4A5C-976F-8EAC2B608ADB}">
              <a16:predDERef xmlns:a16="http://schemas.microsoft.com/office/drawing/2014/main" pred="{3BB3F6E3-F35E-9465-3F51-6651157D2F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31</xdr:col>
      <xdr:colOff>285750</xdr:colOff>
      <xdr:row>25</xdr:row>
      <xdr:rowOff>161925</xdr:rowOff>
    </xdr:from>
    <xdr:to>
      <xdr:col>36</xdr:col>
      <xdr:colOff>142875</xdr:colOff>
      <xdr:row>37</xdr:row>
      <xdr:rowOff>171450</xdr:rowOff>
    </xdr:to>
    <xdr:graphicFrame macro="">
      <xdr:nvGraphicFramePr>
        <xdr:cNvPr id="34" name="Chart 21">
          <a:extLst>
            <a:ext uri="{FF2B5EF4-FFF2-40B4-BE49-F238E27FC236}">
              <a16:creationId xmlns:a16="http://schemas.microsoft.com/office/drawing/2014/main" id="{0C1F3FF7-C844-9CF7-E664-161DEC8CB7BF}"/>
            </a:ext>
            <a:ext uri="{147F2762-F138-4A5C-976F-8EAC2B608ADB}">
              <a16:predDERef xmlns:a16="http://schemas.microsoft.com/office/drawing/2014/main" pred="{1EF163D9-D493-EA37-17F5-8090800133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56</xdr:col>
      <xdr:colOff>247650</xdr:colOff>
      <xdr:row>26</xdr:row>
      <xdr:rowOff>28575</xdr:rowOff>
    </xdr:from>
    <xdr:to>
      <xdr:col>62</xdr:col>
      <xdr:colOff>114300</xdr:colOff>
      <xdr:row>37</xdr:row>
      <xdr:rowOff>76200</xdr:rowOff>
    </xdr:to>
    <xdr:graphicFrame macro="">
      <xdr:nvGraphicFramePr>
        <xdr:cNvPr id="26" name="Chart 20">
          <a:extLst>
            <a:ext uri="{FF2B5EF4-FFF2-40B4-BE49-F238E27FC236}">
              <a16:creationId xmlns:a16="http://schemas.microsoft.com/office/drawing/2014/main" id="{732E4F9C-6AFA-70B8-6D2A-45FA7CCC8E28}"/>
            </a:ext>
            <a:ext uri="{147F2762-F138-4A5C-976F-8EAC2B608ADB}">
              <a16:predDERef xmlns:a16="http://schemas.microsoft.com/office/drawing/2014/main" pred="{0C1F3FF7-C844-9CF7-E664-161DEC8CB7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9525</xdr:colOff>
      <xdr:row>0</xdr:row>
      <xdr:rowOff>1</xdr:rowOff>
    </xdr:from>
    <xdr:to>
      <xdr:col>15</xdr:col>
      <xdr:colOff>323850</xdr:colOff>
      <xdr:row>4</xdr:row>
      <xdr:rowOff>160021</xdr:rowOff>
    </xdr:to>
    <xdr:sp macro="" textlink="">
      <xdr:nvSpPr>
        <xdr:cNvPr id="4486" name="Rectangle 1">
          <a:extLst>
            <a:ext uri="{FF2B5EF4-FFF2-40B4-BE49-F238E27FC236}">
              <a16:creationId xmlns:a16="http://schemas.microsoft.com/office/drawing/2014/main" id="{0BA560F8-221B-0BE6-2F2C-1AFB15892A43}"/>
            </a:ext>
          </a:extLst>
        </xdr:cNvPr>
        <xdr:cNvSpPr/>
      </xdr:nvSpPr>
      <xdr:spPr>
        <a:xfrm>
          <a:off x="9525" y="1"/>
          <a:ext cx="9439275" cy="883920"/>
        </a:xfrm>
        <a:prstGeom prst="rect">
          <a:avLst/>
        </a:prstGeom>
      </xdr:spPr>
      <xdr:style>
        <a:lnRef idx="1">
          <a:schemeClr val="accent3"/>
        </a:lnRef>
        <a:fillRef idx="2">
          <a:schemeClr val="accent3"/>
        </a:fillRef>
        <a:effectRef idx="1">
          <a:schemeClr val="accent3"/>
        </a:effectRef>
        <a:fontRef idx="minor">
          <a:schemeClr val="dk1"/>
        </a:fontRef>
      </xdr:style>
      <xdr:txBody>
        <a:bodyPr spcFirstLastPara="0" vertOverflow="clip" horzOverflow="clip" wrap="square" lIns="91440" tIns="45720" rIns="91440" bIns="45720" rtlCol="0" anchor="t">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800" b="1">
              <a:solidFill>
                <a:schemeClr val="lt1"/>
              </a:solidFill>
              <a:effectLst/>
              <a:latin typeface="+mn-lt"/>
              <a:ea typeface="+mn-ea"/>
              <a:cs typeface="+mn-cs"/>
            </a:rPr>
            <a:t>MARKETING  PERFORMANCE  DASHBOARD</a:t>
          </a:r>
          <a:endParaRPr lang="en-IN" sz="2800" b="1">
            <a:effectLst/>
          </a:endParaRPr>
        </a:p>
        <a:p>
          <a:pPr marL="0" indent="0" algn="ctr"/>
          <a:r>
            <a:rPr lang="en-IN" sz="1800" b="1"/>
            <a:t>Tracking </a:t>
          </a:r>
          <a:r>
            <a:rPr lang="en-IN" sz="1800" b="1">
              <a:solidFill>
                <a:schemeClr val="accent1"/>
              </a:solidFill>
            </a:rPr>
            <a:t>Marketing Impact</a:t>
          </a:r>
          <a:r>
            <a:rPr lang="en-IN" sz="1800" b="1"/>
            <a:t> Across Channels &amp; Time</a:t>
          </a:r>
          <a:endParaRPr lang="en-US" sz="1800" b="1">
            <a:solidFill>
              <a:schemeClr val="lt1"/>
            </a:solidFill>
            <a:latin typeface="+mn-lt"/>
            <a:ea typeface="+mn-lt"/>
            <a:cs typeface="+mn-lt"/>
          </a:endParaRPr>
        </a:p>
      </xdr:txBody>
    </xdr:sp>
    <xdr:clientData/>
  </xdr:twoCellAnchor>
  <xdr:twoCellAnchor editAs="oneCell">
    <xdr:from>
      <xdr:col>19</xdr:col>
      <xdr:colOff>171450</xdr:colOff>
      <xdr:row>0</xdr:row>
      <xdr:rowOff>9525</xdr:rowOff>
    </xdr:from>
    <xdr:to>
      <xdr:col>22</xdr:col>
      <xdr:colOff>476250</xdr:colOff>
      <xdr:row>4</xdr:row>
      <xdr:rowOff>175260</xdr:rowOff>
    </xdr:to>
    <mc:AlternateContent xmlns:mc="http://schemas.openxmlformats.org/markup-compatibility/2006" xmlns:a14="http://schemas.microsoft.com/office/drawing/2010/main">
      <mc:Choice Requires="a14">
        <xdr:graphicFrame macro="">
          <xdr:nvGraphicFramePr>
            <xdr:cNvPr id="4306" name="Quarter 1">
              <a:extLst>
                <a:ext uri="{FF2B5EF4-FFF2-40B4-BE49-F238E27FC236}">
                  <a16:creationId xmlns:a16="http://schemas.microsoft.com/office/drawing/2014/main" id="{17A97B2D-451A-4B54-A88A-8DD2A30C0FAC}"/>
                </a:ext>
                <a:ext uri="{147F2762-F138-4A5C-976F-8EAC2B608ADB}">
                  <a16:predDERef xmlns:a16="http://schemas.microsoft.com/office/drawing/2014/main" pred="{0BA560F8-221B-0BE6-2F2C-1AFB15892A43}"/>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Quarter 1"/>
            </a:graphicData>
          </a:graphic>
        </xdr:graphicFrame>
      </mc:Choice>
      <mc:Fallback xmlns="">
        <xdr:sp macro="" textlink="">
          <xdr:nvSpPr>
            <xdr:cNvPr id="0" name=""/>
            <xdr:cNvSpPr>
              <a:spLocks noTextEdit="1"/>
            </xdr:cNvSpPr>
          </xdr:nvSpPr>
          <xdr:spPr>
            <a:xfrm>
              <a:off x="12214860" y="60960"/>
              <a:ext cx="1482090" cy="929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361950</xdr:colOff>
      <xdr:row>0</xdr:row>
      <xdr:rowOff>9525</xdr:rowOff>
    </xdr:from>
    <xdr:to>
      <xdr:col>19</xdr:col>
      <xdr:colOff>123825</xdr:colOff>
      <xdr:row>5</xdr:row>
      <xdr:rowOff>0</xdr:rowOff>
    </xdr:to>
    <mc:AlternateContent xmlns:mc="http://schemas.openxmlformats.org/markup-compatibility/2006" xmlns:a14="http://schemas.microsoft.com/office/drawing/2010/main">
      <mc:Choice Requires="a14">
        <xdr:graphicFrame macro="">
          <xdr:nvGraphicFramePr>
            <xdr:cNvPr id="4307" name="Channel 1">
              <a:extLst>
                <a:ext uri="{FF2B5EF4-FFF2-40B4-BE49-F238E27FC236}">
                  <a16:creationId xmlns:a16="http://schemas.microsoft.com/office/drawing/2014/main" id="{ADF25B54-A45A-466D-AAE4-1F8A16C6E25E}"/>
                </a:ext>
                <a:ext uri="{147F2762-F138-4A5C-976F-8EAC2B608ADB}">
                  <a16:predDERef xmlns:a16="http://schemas.microsoft.com/office/drawing/2014/main" pred="{17A97B2D-451A-4B54-A88A-8DD2A30C0FAC}"/>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Channel 1"/>
            </a:graphicData>
          </a:graphic>
        </xdr:graphicFrame>
      </mc:Choice>
      <mc:Fallback xmlns="">
        <xdr:sp macro="" textlink="">
          <xdr:nvSpPr>
            <xdr:cNvPr id="0" name=""/>
            <xdr:cNvSpPr>
              <a:spLocks noTextEdit="1"/>
            </xdr:cNvSpPr>
          </xdr:nvSpPr>
          <xdr:spPr>
            <a:xfrm>
              <a:off x="9536430" y="9525"/>
              <a:ext cx="2200275" cy="904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32385</xdr:colOff>
      <xdr:row>5</xdr:row>
      <xdr:rowOff>28575</xdr:rowOff>
    </xdr:from>
    <xdr:to>
      <xdr:col>3</xdr:col>
      <xdr:colOff>394335</xdr:colOff>
      <xdr:row>9</xdr:row>
      <xdr:rowOff>123825</xdr:rowOff>
    </xdr:to>
    <xdr:sp macro="" textlink="">
      <xdr:nvSpPr>
        <xdr:cNvPr id="4283" name="Rectangle 3">
          <a:extLst>
            <a:ext uri="{FF2B5EF4-FFF2-40B4-BE49-F238E27FC236}">
              <a16:creationId xmlns:a16="http://schemas.microsoft.com/office/drawing/2014/main" id="{DF6F77F2-707B-8D2A-DEC3-BD23A103EFBC}"/>
            </a:ext>
            <a:ext uri="{147F2762-F138-4A5C-976F-8EAC2B608ADB}">
              <a16:predDERef xmlns:a16="http://schemas.microsoft.com/office/drawing/2014/main" pred="{ADF25B54-A45A-466D-AAE4-1F8A16C6E25E}"/>
            </a:ext>
          </a:extLst>
        </xdr:cNvPr>
        <xdr:cNvSpPr/>
      </xdr:nvSpPr>
      <xdr:spPr>
        <a:xfrm>
          <a:off x="32385" y="933450"/>
          <a:ext cx="2190750" cy="81915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b" anchorCtr="0" forceAA="0" compatLnSpc="1">
          <a:prstTxWarp prst="textNoShape">
            <a:avLst/>
          </a:prstTxWarp>
          <a:noAutofit/>
        </a:bodyPr>
        <a:lstStyle/>
        <a:p>
          <a:pPr marL="0" indent="0" algn="ctr"/>
          <a:r>
            <a:rPr lang="en-US" sz="1400" b="1">
              <a:solidFill>
                <a:sysClr val="windowText" lastClr="000000"/>
              </a:solidFill>
              <a:effectLst/>
              <a:latin typeface="+mn-lt"/>
              <a:ea typeface="+mn-ea"/>
              <a:cs typeface="+mn-cs"/>
            </a:rPr>
            <a:t>Total Marketing Spend</a:t>
          </a:r>
        </a:p>
      </xdr:txBody>
    </xdr:sp>
    <xdr:clientData/>
  </xdr:twoCellAnchor>
  <xdr:twoCellAnchor>
    <xdr:from>
      <xdr:col>0</xdr:col>
      <xdr:colOff>533400</xdr:colOff>
      <xdr:row>5</xdr:row>
      <xdr:rowOff>114300</xdr:rowOff>
    </xdr:from>
    <xdr:to>
      <xdr:col>2</xdr:col>
      <xdr:colOff>523875</xdr:colOff>
      <xdr:row>8</xdr:row>
      <xdr:rowOff>19050</xdr:rowOff>
    </xdr:to>
    <xdr:sp macro="" textlink="'Pivots &amp; KPIs'!A4">
      <xdr:nvSpPr>
        <xdr:cNvPr id="13" name="TextBox 4">
          <a:extLst>
            <a:ext uri="{FF2B5EF4-FFF2-40B4-BE49-F238E27FC236}">
              <a16:creationId xmlns:a16="http://schemas.microsoft.com/office/drawing/2014/main" id="{3A9F9754-D5F8-F1CC-E68D-6F7A734899B9}"/>
            </a:ext>
            <a:ext uri="{147F2762-F138-4A5C-976F-8EAC2B608ADB}">
              <a16:predDERef xmlns:a16="http://schemas.microsoft.com/office/drawing/2014/main" pred="{DF6F77F2-707B-8D2A-DEC3-BD23A103EFBC}"/>
            </a:ext>
          </a:extLst>
        </xdr:cNvPr>
        <xdr:cNvSpPr txBox="1"/>
      </xdr:nvSpPr>
      <xdr:spPr>
        <a:xfrm>
          <a:off x="533400" y="1019175"/>
          <a:ext cx="1209675" cy="447675"/>
        </a:xfrm>
        <a:prstGeom prst="rect">
          <a:avLst/>
        </a:prstGeom>
        <a:solidFill>
          <a:schemeClr val="lt1"/>
        </a:solidFill>
        <a:ln w="9525" cmpd="sng">
          <a:solidFill>
            <a:schemeClr val="bg1"/>
          </a:solidFill>
        </a:ln>
      </xdr:spPr>
      <xdr:txBody>
        <a:bodyPr vertOverflow="clip" horzOverflow="clip" rtlCol="0" anchor="ctr"/>
        <a:lstStyle/>
        <a:p>
          <a:pPr marL="0" indent="0" algn="ctr"/>
          <a:fld id="{EC5F4377-9803-4694-BAA0-E1C1277FDB44}" type="TxLink">
            <a:rPr lang="en-US" sz="1800" b="1" i="0" u="none" strike="noStrike">
              <a:solidFill>
                <a:srgbClr val="000000"/>
              </a:solidFill>
              <a:latin typeface="Aptos Narrow"/>
              <a:ea typeface="+mn-lt"/>
              <a:cs typeface="+mn-lt"/>
            </a:rPr>
            <a:pPr marL="0" indent="0" algn="ctr"/>
            <a:t> $2,61,166 </a:t>
          </a:fld>
          <a:endParaRPr lang="en-US" sz="1800" b="1">
            <a:latin typeface="+mn-lt"/>
            <a:ea typeface="+mn-lt"/>
            <a:cs typeface="+mn-lt"/>
          </a:endParaRPr>
        </a:p>
      </xdr:txBody>
    </xdr:sp>
    <xdr:clientData/>
  </xdr:twoCellAnchor>
  <xdr:twoCellAnchor>
    <xdr:from>
      <xdr:col>19</xdr:col>
      <xdr:colOff>9525</xdr:colOff>
      <xdr:row>5</xdr:row>
      <xdr:rowOff>19050</xdr:rowOff>
    </xdr:from>
    <xdr:to>
      <xdr:col>22</xdr:col>
      <xdr:colOff>371475</xdr:colOff>
      <xdr:row>9</xdr:row>
      <xdr:rowOff>114300</xdr:rowOff>
    </xdr:to>
    <xdr:sp macro="" textlink="">
      <xdr:nvSpPr>
        <xdr:cNvPr id="4336" name="Rectangle 6">
          <a:extLst>
            <a:ext uri="{FF2B5EF4-FFF2-40B4-BE49-F238E27FC236}">
              <a16:creationId xmlns:a16="http://schemas.microsoft.com/office/drawing/2014/main" id="{7257AED9-1EAC-4B4A-A926-75D642B59F62}"/>
            </a:ext>
            <a:ext uri="{147F2762-F138-4A5C-976F-8EAC2B608ADB}">
              <a16:predDERef xmlns:a16="http://schemas.microsoft.com/office/drawing/2014/main" pred="{3A9F9754-D5F8-F1CC-E68D-6F7A734899B9}"/>
            </a:ext>
          </a:extLst>
        </xdr:cNvPr>
        <xdr:cNvSpPr/>
      </xdr:nvSpPr>
      <xdr:spPr>
        <a:xfrm>
          <a:off x="11591925" y="923925"/>
          <a:ext cx="2190750" cy="81915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b"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400" b="1">
              <a:solidFill>
                <a:sysClr val="windowText" lastClr="000000"/>
              </a:solidFill>
              <a:effectLst/>
              <a:latin typeface="+mn-lt"/>
              <a:ea typeface="+mn-ea"/>
              <a:cs typeface="+mn-cs"/>
            </a:rPr>
            <a:t>Revenue Per $ Spent</a:t>
          </a:r>
        </a:p>
      </xdr:txBody>
    </xdr:sp>
    <xdr:clientData/>
  </xdr:twoCellAnchor>
  <xdr:twoCellAnchor>
    <xdr:from>
      <xdr:col>15</xdr:col>
      <xdr:colOff>127635</xdr:colOff>
      <xdr:row>4</xdr:row>
      <xdr:rowOff>179070</xdr:rowOff>
    </xdr:from>
    <xdr:to>
      <xdr:col>18</xdr:col>
      <xdr:colOff>489585</xdr:colOff>
      <xdr:row>9</xdr:row>
      <xdr:rowOff>91440</xdr:rowOff>
    </xdr:to>
    <xdr:sp macro="" textlink="">
      <xdr:nvSpPr>
        <xdr:cNvPr id="4335" name="Rectangle 7">
          <a:extLst>
            <a:ext uri="{FF2B5EF4-FFF2-40B4-BE49-F238E27FC236}">
              <a16:creationId xmlns:a16="http://schemas.microsoft.com/office/drawing/2014/main" id="{E0859445-2217-4619-88BB-FE79E1133735}"/>
            </a:ext>
            <a:ext uri="{147F2762-F138-4A5C-976F-8EAC2B608ADB}">
              <a16:predDERef xmlns:a16="http://schemas.microsoft.com/office/drawing/2014/main" pred="{7257AED9-1EAC-4B4A-A926-75D642B59F62}"/>
            </a:ext>
          </a:extLst>
        </xdr:cNvPr>
        <xdr:cNvSpPr/>
      </xdr:nvSpPr>
      <xdr:spPr>
        <a:xfrm>
          <a:off x="9302115" y="910590"/>
          <a:ext cx="2190750" cy="82677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b"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400" b="1">
              <a:solidFill>
                <a:sysClr val="windowText" lastClr="000000"/>
              </a:solidFill>
              <a:effectLst/>
              <a:latin typeface="+mn-lt"/>
              <a:ea typeface="+mn-ea"/>
              <a:cs typeface="+mn-cs"/>
            </a:rPr>
            <a:t>Conversion Rate %</a:t>
          </a:r>
        </a:p>
      </xdr:txBody>
    </xdr:sp>
    <xdr:clientData/>
  </xdr:twoCellAnchor>
  <xdr:twoCellAnchor>
    <xdr:from>
      <xdr:col>11</xdr:col>
      <xdr:colOff>247650</xdr:colOff>
      <xdr:row>5</xdr:row>
      <xdr:rowOff>66675</xdr:rowOff>
    </xdr:from>
    <xdr:to>
      <xdr:col>15</xdr:col>
      <xdr:colOff>19050</xdr:colOff>
      <xdr:row>9</xdr:row>
      <xdr:rowOff>152400</xdr:rowOff>
    </xdr:to>
    <xdr:sp macro="" textlink="">
      <xdr:nvSpPr>
        <xdr:cNvPr id="190" name="Rectangle 8">
          <a:extLst>
            <a:ext uri="{FF2B5EF4-FFF2-40B4-BE49-F238E27FC236}">
              <a16:creationId xmlns:a16="http://schemas.microsoft.com/office/drawing/2014/main" id="{FB3EFDDD-98D8-43A4-914D-EC6A9A141820}"/>
            </a:ext>
            <a:ext uri="{147F2762-F138-4A5C-976F-8EAC2B608ADB}">
              <a16:predDERef xmlns:a16="http://schemas.microsoft.com/office/drawing/2014/main" pred="{E0859445-2217-4619-88BB-FE79E1133735}"/>
            </a:ext>
          </a:extLst>
        </xdr:cNvPr>
        <xdr:cNvSpPr/>
      </xdr:nvSpPr>
      <xdr:spPr>
        <a:xfrm>
          <a:off x="6953250" y="971550"/>
          <a:ext cx="2209800" cy="809625"/>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b"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400" b="1">
              <a:solidFill>
                <a:sysClr val="windowText" lastClr="000000"/>
              </a:solidFill>
              <a:effectLst/>
              <a:latin typeface="+mn-lt"/>
              <a:ea typeface="+mn-ea"/>
              <a:cs typeface="+mn-cs"/>
            </a:rPr>
            <a:t>                                 MOM  ROI %</a:t>
          </a:r>
        </a:p>
        <a:p>
          <a:pPr marL="0" indent="0" algn="ctr"/>
          <a:endParaRPr lang="en-US" sz="1400" b="1">
            <a:solidFill>
              <a:sysClr val="windowText" lastClr="000000"/>
            </a:solidFill>
            <a:effectLst/>
            <a:latin typeface="+mn-lt"/>
            <a:ea typeface="+mn-ea"/>
            <a:cs typeface="+mn-cs"/>
          </a:endParaRPr>
        </a:p>
        <a:p>
          <a:pPr marL="0" indent="0" algn="ctr"/>
          <a:r>
            <a:rPr lang="en-US" sz="1400" b="1">
              <a:solidFill>
                <a:sysClr val="windowText" lastClr="000000"/>
              </a:solidFill>
              <a:effectLst/>
              <a:latin typeface="+mn-lt"/>
              <a:ea typeface="+mn-ea"/>
              <a:cs typeface="+mn-cs"/>
            </a:rPr>
            <a:t>                                   YOY ROI %</a:t>
          </a:r>
        </a:p>
      </xdr:txBody>
    </xdr:sp>
    <xdr:clientData/>
  </xdr:twoCellAnchor>
  <xdr:twoCellAnchor>
    <xdr:from>
      <xdr:col>3</xdr:col>
      <xdr:colOff>518160</xdr:colOff>
      <xdr:row>5</xdr:row>
      <xdr:rowOff>7620</xdr:rowOff>
    </xdr:from>
    <xdr:to>
      <xdr:col>7</xdr:col>
      <xdr:colOff>270510</xdr:colOff>
      <xdr:row>9</xdr:row>
      <xdr:rowOff>102870</xdr:rowOff>
    </xdr:to>
    <xdr:sp macro="" textlink="">
      <xdr:nvSpPr>
        <xdr:cNvPr id="22" name="Rectangle 9">
          <a:extLst>
            <a:ext uri="{FF2B5EF4-FFF2-40B4-BE49-F238E27FC236}">
              <a16:creationId xmlns:a16="http://schemas.microsoft.com/office/drawing/2014/main" id="{C37B327F-2FAC-4C7F-B79F-30461022FDEF}"/>
            </a:ext>
            <a:ext uri="{147F2762-F138-4A5C-976F-8EAC2B608ADB}">
              <a16:predDERef xmlns:a16="http://schemas.microsoft.com/office/drawing/2014/main" pred="{FB3EFDDD-98D8-43A4-914D-EC6A9A141820}"/>
            </a:ext>
          </a:extLst>
        </xdr:cNvPr>
        <xdr:cNvSpPr/>
      </xdr:nvSpPr>
      <xdr:spPr>
        <a:xfrm>
          <a:off x="2377440" y="922020"/>
          <a:ext cx="2190750" cy="82677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b"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400" b="1">
              <a:solidFill>
                <a:sysClr val="windowText" lastClr="000000"/>
              </a:solidFill>
              <a:effectLst/>
              <a:latin typeface="+mn-lt"/>
              <a:ea typeface="+mn-ea"/>
              <a:cs typeface="+mn-cs"/>
            </a:rPr>
            <a:t>Total Revenue</a:t>
          </a:r>
        </a:p>
      </xdr:txBody>
    </xdr:sp>
    <xdr:clientData/>
  </xdr:twoCellAnchor>
  <xdr:twoCellAnchor>
    <xdr:from>
      <xdr:col>0</xdr:col>
      <xdr:colOff>57150</xdr:colOff>
      <xdr:row>11</xdr:row>
      <xdr:rowOff>133350</xdr:rowOff>
    </xdr:from>
    <xdr:to>
      <xdr:col>7</xdr:col>
      <xdr:colOff>180975</xdr:colOff>
      <xdr:row>27</xdr:row>
      <xdr:rowOff>28575</xdr:rowOff>
    </xdr:to>
    <xdr:graphicFrame macro="">
      <xdr:nvGraphicFramePr>
        <xdr:cNvPr id="6" name="Chart 10">
          <a:extLst>
            <a:ext uri="{FF2B5EF4-FFF2-40B4-BE49-F238E27FC236}">
              <a16:creationId xmlns:a16="http://schemas.microsoft.com/office/drawing/2014/main" id="{1DCEBAB2-5E6E-4BFD-A1B0-CEB071420AD1}"/>
            </a:ext>
            <a:ext uri="{147F2762-F138-4A5C-976F-8EAC2B608ADB}">
              <a16:predDERef xmlns:a16="http://schemas.microsoft.com/office/drawing/2014/main" pred="{C37B327F-2FAC-4C7F-B79F-30461022FD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295275</xdr:colOff>
      <xdr:row>11</xdr:row>
      <xdr:rowOff>133350</xdr:rowOff>
    </xdr:from>
    <xdr:to>
      <xdr:col>14</xdr:col>
      <xdr:colOff>590550</xdr:colOff>
      <xdr:row>27</xdr:row>
      <xdr:rowOff>38100</xdr:rowOff>
    </xdr:to>
    <xdr:graphicFrame macro="">
      <xdr:nvGraphicFramePr>
        <xdr:cNvPr id="11" name="Chart 11">
          <a:extLst>
            <a:ext uri="{FF2B5EF4-FFF2-40B4-BE49-F238E27FC236}">
              <a16:creationId xmlns:a16="http://schemas.microsoft.com/office/drawing/2014/main" id="{CFDD145F-B6B3-4BCF-B584-E2706CE843C9}"/>
            </a:ext>
            <a:ext uri="{147F2762-F138-4A5C-976F-8EAC2B608ADB}">
              <a16:predDERef xmlns:a16="http://schemas.microsoft.com/office/drawing/2014/main" pred="{1DCEBAB2-5E6E-4BFD-A1B0-CEB071420A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228600</xdr:colOff>
      <xdr:row>11</xdr:row>
      <xdr:rowOff>142875</xdr:rowOff>
    </xdr:from>
    <xdr:to>
      <xdr:col>22</xdr:col>
      <xdr:colOff>514350</xdr:colOff>
      <xdr:row>27</xdr:row>
      <xdr:rowOff>57150</xdr:rowOff>
    </xdr:to>
    <xdr:graphicFrame macro="">
      <xdr:nvGraphicFramePr>
        <xdr:cNvPr id="7" name="Chart 17">
          <a:extLst>
            <a:ext uri="{FF2B5EF4-FFF2-40B4-BE49-F238E27FC236}">
              <a16:creationId xmlns:a16="http://schemas.microsoft.com/office/drawing/2014/main" id="{4973794A-F6E9-48A2-B49F-2C6672C2EFC6}"/>
            </a:ext>
            <a:ext uri="{147F2762-F138-4A5C-976F-8EAC2B608ADB}">
              <a16:predDERef xmlns:a16="http://schemas.microsoft.com/office/drawing/2014/main" pred="{CFDD145F-B6B3-4BCF-B584-E2706CE843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367665</xdr:colOff>
      <xdr:row>5</xdr:row>
      <xdr:rowOff>148590</xdr:rowOff>
    </xdr:from>
    <xdr:to>
      <xdr:col>6</xdr:col>
      <xdr:colOff>424815</xdr:colOff>
      <xdr:row>7</xdr:row>
      <xdr:rowOff>160020</xdr:rowOff>
    </xdr:to>
    <xdr:sp macro="" textlink="'Pivots &amp; KPIs'!C4">
      <xdr:nvSpPr>
        <xdr:cNvPr id="23" name="TextBox 154">
          <a:extLst>
            <a:ext uri="{FF2B5EF4-FFF2-40B4-BE49-F238E27FC236}">
              <a16:creationId xmlns:a16="http://schemas.microsoft.com/office/drawing/2014/main" id="{CC7224DB-D3FE-D95D-A318-58C080179094}"/>
            </a:ext>
            <a:ext uri="{147F2762-F138-4A5C-976F-8EAC2B608ADB}">
              <a16:predDERef xmlns:a16="http://schemas.microsoft.com/office/drawing/2014/main" pred="{4973794A-F6E9-48A2-B49F-2C6672C2EFC6}"/>
            </a:ext>
          </a:extLst>
        </xdr:cNvPr>
        <xdr:cNvSpPr txBox="1"/>
      </xdr:nvSpPr>
      <xdr:spPr>
        <a:xfrm>
          <a:off x="2836545" y="1062990"/>
          <a:ext cx="1276350" cy="377190"/>
        </a:xfrm>
        <a:prstGeom prst="rect">
          <a:avLst/>
        </a:prstGeom>
        <a:solidFill>
          <a:schemeClr val="lt1"/>
        </a:solidFill>
        <a:ln w="9525" cmpd="sng">
          <a:solidFill>
            <a:schemeClr val="bg1"/>
          </a:solidFill>
        </a:ln>
      </xdr:spPr>
      <xdr:txBody>
        <a:bodyPr vertOverflow="clip" horzOverflow="clip" rtlCol="0" anchor="ctr"/>
        <a:lstStyle/>
        <a:p>
          <a:pPr marL="0" indent="0" algn="ctr"/>
          <a:fld id="{AB3BF9BD-9C68-4026-8475-F0A71CE9438A}" type="TxLink">
            <a:rPr lang="en-US" sz="1800" b="1" i="0" u="none" strike="noStrike">
              <a:solidFill>
                <a:srgbClr val="000000"/>
              </a:solidFill>
              <a:latin typeface="Aptos Narrow"/>
              <a:ea typeface="+mn-lt"/>
              <a:cs typeface="+mn-lt"/>
            </a:rPr>
            <a:pPr marL="0" indent="0" algn="ctr"/>
            <a:t> $10,42,480 </a:t>
          </a:fld>
          <a:endParaRPr lang="en-US" sz="1800" b="1" i="0" u="none" strike="noStrike">
            <a:solidFill>
              <a:srgbClr val="000000"/>
            </a:solidFill>
            <a:latin typeface="Aptos Narrow"/>
            <a:ea typeface="+mn-lt"/>
            <a:cs typeface="+mn-lt"/>
          </a:endParaRPr>
        </a:p>
      </xdr:txBody>
    </xdr:sp>
    <xdr:clientData/>
  </xdr:twoCellAnchor>
  <xdr:twoCellAnchor>
    <xdr:from>
      <xdr:col>16</xdr:col>
      <xdr:colOff>80010</xdr:colOff>
      <xdr:row>5</xdr:row>
      <xdr:rowOff>140970</xdr:rowOff>
    </xdr:from>
    <xdr:to>
      <xdr:col>17</xdr:col>
      <xdr:colOff>499110</xdr:colOff>
      <xdr:row>7</xdr:row>
      <xdr:rowOff>127635</xdr:rowOff>
    </xdr:to>
    <xdr:sp macro="" textlink="'Pivots &amp; KPIs'!J3">
      <xdr:nvSpPr>
        <xdr:cNvPr id="8" name="TextBox 156">
          <a:extLst>
            <a:ext uri="{FF2B5EF4-FFF2-40B4-BE49-F238E27FC236}">
              <a16:creationId xmlns:a16="http://schemas.microsoft.com/office/drawing/2014/main" id="{35A81618-A1D9-7748-135B-DCA34505D777}"/>
            </a:ext>
            <a:ext uri="{147F2762-F138-4A5C-976F-8EAC2B608ADB}">
              <a16:predDERef xmlns:a16="http://schemas.microsoft.com/office/drawing/2014/main" pred="{CC7224DB-D3FE-D95D-A318-58C080179094}"/>
            </a:ext>
          </a:extLst>
        </xdr:cNvPr>
        <xdr:cNvSpPr txBox="1"/>
      </xdr:nvSpPr>
      <xdr:spPr>
        <a:xfrm>
          <a:off x="9833610" y="1045845"/>
          <a:ext cx="1028700" cy="348615"/>
        </a:xfrm>
        <a:prstGeom prst="rect">
          <a:avLst/>
        </a:prstGeom>
        <a:solidFill>
          <a:schemeClr val="lt1"/>
        </a:solidFill>
        <a:ln w="9525" cmpd="sng">
          <a:solidFill>
            <a:schemeClr val="bg1"/>
          </a:solidFill>
        </a:ln>
      </xdr:spPr>
      <xdr:txBody>
        <a:bodyPr vertOverflow="clip" horzOverflow="clip" rtlCol="0" anchor="ctr"/>
        <a:lstStyle/>
        <a:p>
          <a:pPr marL="0" indent="0" algn="ctr"/>
          <a:fld id="{4211C369-5BD5-4E19-8CC1-ABDF63376B0B}" type="TxLink">
            <a:rPr lang="en-US" sz="2000" b="1" i="0" u="none" strike="noStrike">
              <a:solidFill>
                <a:srgbClr val="000000"/>
              </a:solidFill>
              <a:latin typeface="Aptos Narrow"/>
              <a:ea typeface="+mn-lt"/>
              <a:cs typeface="+mn-lt"/>
            </a:rPr>
            <a:pPr marL="0" indent="0" algn="ctr"/>
            <a:t>5%</a:t>
          </a:fld>
          <a:endParaRPr lang="en-IN" sz="2000" b="1" i="0" u="none" strike="noStrike">
            <a:solidFill>
              <a:srgbClr val="000000"/>
            </a:solidFill>
            <a:latin typeface="Aptos Narrow"/>
            <a:ea typeface="+mn-lt"/>
            <a:cs typeface="+mn-lt"/>
          </a:endParaRPr>
        </a:p>
      </xdr:txBody>
    </xdr:sp>
    <xdr:clientData/>
  </xdr:twoCellAnchor>
  <xdr:twoCellAnchor>
    <xdr:from>
      <xdr:col>19</xdr:col>
      <xdr:colOff>567690</xdr:colOff>
      <xdr:row>5</xdr:row>
      <xdr:rowOff>139065</xdr:rowOff>
    </xdr:from>
    <xdr:to>
      <xdr:col>21</xdr:col>
      <xdr:colOff>377190</xdr:colOff>
      <xdr:row>7</xdr:row>
      <xdr:rowOff>116205</xdr:rowOff>
    </xdr:to>
    <xdr:sp macro="" textlink="'Pivots &amp; KPIs'!O3">
      <xdr:nvSpPr>
        <xdr:cNvPr id="10" name="TextBox 157">
          <a:extLst>
            <a:ext uri="{FF2B5EF4-FFF2-40B4-BE49-F238E27FC236}">
              <a16:creationId xmlns:a16="http://schemas.microsoft.com/office/drawing/2014/main" id="{EE545802-32A6-77B1-E910-120CD6C14B27}"/>
            </a:ext>
            <a:ext uri="{147F2762-F138-4A5C-976F-8EAC2B608ADB}">
              <a16:predDERef xmlns:a16="http://schemas.microsoft.com/office/drawing/2014/main" pred="{35A81618-A1D9-7748-135B-DCA34505D777}"/>
            </a:ext>
          </a:extLst>
        </xdr:cNvPr>
        <xdr:cNvSpPr txBox="1"/>
      </xdr:nvSpPr>
      <xdr:spPr>
        <a:xfrm>
          <a:off x="12150090" y="1043940"/>
          <a:ext cx="1028700" cy="339090"/>
        </a:xfrm>
        <a:prstGeom prst="rect">
          <a:avLst/>
        </a:prstGeom>
        <a:solidFill>
          <a:schemeClr val="lt1"/>
        </a:solidFill>
        <a:ln w="9525" cmpd="sng">
          <a:solidFill>
            <a:schemeClr val="bg1"/>
          </a:solidFill>
        </a:ln>
      </xdr:spPr>
      <xdr:txBody>
        <a:bodyPr vertOverflow="clip" horzOverflow="clip" rtlCol="0" anchor="ctr"/>
        <a:lstStyle/>
        <a:p>
          <a:pPr marL="0" indent="0" algn="ctr"/>
          <a:fld id="{3C40B012-6DB9-449F-9693-8E10E406DD7A}" type="TxLink">
            <a:rPr lang="en-US" sz="2000" b="1" i="0" u="none" strike="noStrike">
              <a:solidFill>
                <a:srgbClr val="000000"/>
              </a:solidFill>
              <a:latin typeface="Aptos Narrow"/>
              <a:ea typeface="+mn-lt"/>
              <a:cs typeface="+mn-lt"/>
            </a:rPr>
            <a:pPr marL="0" indent="0" algn="ctr"/>
            <a:t>$3.99</a:t>
          </a:fld>
          <a:endParaRPr lang="en-IN" sz="2000" b="1" i="0" u="none" strike="noStrike">
            <a:solidFill>
              <a:srgbClr val="000000"/>
            </a:solidFill>
            <a:latin typeface="Aptos Narrow"/>
            <a:ea typeface="+mn-lt"/>
            <a:cs typeface="+mn-lt"/>
          </a:endParaRPr>
        </a:p>
      </xdr:txBody>
    </xdr:sp>
    <xdr:clientData/>
  </xdr:twoCellAnchor>
  <xdr:twoCellAnchor>
    <xdr:from>
      <xdr:col>11</xdr:col>
      <xdr:colOff>510540</xdr:colOff>
      <xdr:row>8</xdr:row>
      <xdr:rowOff>28575</xdr:rowOff>
    </xdr:from>
    <xdr:to>
      <xdr:col>12</xdr:col>
      <xdr:colOff>579120</xdr:colOff>
      <xdr:row>9</xdr:row>
      <xdr:rowOff>108585</xdr:rowOff>
    </xdr:to>
    <xdr:sp macro="" textlink="'Pivots &amp; KPIs'!M7">
      <xdr:nvSpPr>
        <xdr:cNvPr id="188" name="TextBox 159">
          <a:extLst>
            <a:ext uri="{FF2B5EF4-FFF2-40B4-BE49-F238E27FC236}">
              <a16:creationId xmlns:a16="http://schemas.microsoft.com/office/drawing/2014/main" id="{5D0404D5-DC2D-0E60-B0B8-C219375E53CD}"/>
            </a:ext>
            <a:ext uri="{147F2762-F138-4A5C-976F-8EAC2B608ADB}">
              <a16:predDERef xmlns:a16="http://schemas.microsoft.com/office/drawing/2014/main" pred="{EE545802-32A6-77B1-E910-120CD6C14B27}"/>
            </a:ext>
          </a:extLst>
        </xdr:cNvPr>
        <xdr:cNvSpPr txBox="1"/>
      </xdr:nvSpPr>
      <xdr:spPr>
        <a:xfrm>
          <a:off x="7216140" y="1476375"/>
          <a:ext cx="678180" cy="260985"/>
        </a:xfrm>
        <a:prstGeom prst="rect">
          <a:avLst/>
        </a:prstGeom>
        <a:solidFill>
          <a:schemeClr val="lt1"/>
        </a:solidFill>
        <a:ln w="9525" cmpd="sng">
          <a:solidFill>
            <a:schemeClr val="bg1"/>
          </a:solidFill>
        </a:ln>
      </xdr:spPr>
      <xdr:txBody>
        <a:bodyPr vertOverflow="clip" horzOverflow="clip" rtlCol="0" anchor="ctr"/>
        <a:lstStyle/>
        <a:p>
          <a:pPr marL="0" indent="0" algn="ctr"/>
          <a:fld id="{1283D924-0CAC-4988-AF0E-CAD4FE05C122}" type="TxLink">
            <a:rPr lang="en-US" sz="1800" b="1" i="0" u="none" strike="noStrike">
              <a:solidFill>
                <a:srgbClr val="FF0000"/>
              </a:solidFill>
              <a:latin typeface="Aptos Narrow"/>
              <a:ea typeface="+mn-lt"/>
              <a:cs typeface="+mn-lt"/>
            </a:rPr>
            <a:pPr marL="0" indent="0" algn="ctr"/>
            <a:t>-23%</a:t>
          </a:fld>
          <a:endParaRPr lang="en-IN" sz="1800" b="1" i="0" u="none" strike="noStrike">
            <a:solidFill>
              <a:srgbClr val="FF0000"/>
            </a:solidFill>
            <a:latin typeface="Aptos Narrow"/>
            <a:ea typeface="+mn-lt"/>
            <a:cs typeface="+mn-lt"/>
          </a:endParaRPr>
        </a:p>
      </xdr:txBody>
    </xdr:sp>
    <xdr:clientData/>
  </xdr:twoCellAnchor>
  <xdr:twoCellAnchor>
    <xdr:from>
      <xdr:col>11</xdr:col>
      <xdr:colOff>487680</xdr:colOff>
      <xdr:row>5</xdr:row>
      <xdr:rowOff>148590</xdr:rowOff>
    </xdr:from>
    <xdr:to>
      <xdr:col>12</xdr:col>
      <xdr:colOff>598170</xdr:colOff>
      <xdr:row>7</xdr:row>
      <xdr:rowOff>78105</xdr:rowOff>
    </xdr:to>
    <xdr:sp macro="" textlink="'Pivots &amp; KPIs'!N7">
      <xdr:nvSpPr>
        <xdr:cNvPr id="186" name="TextBox 158">
          <a:extLst>
            <a:ext uri="{FF2B5EF4-FFF2-40B4-BE49-F238E27FC236}">
              <a16:creationId xmlns:a16="http://schemas.microsoft.com/office/drawing/2014/main" id="{AF2C7398-8FA9-B5CB-1804-963E140BF174}"/>
            </a:ext>
            <a:ext uri="{147F2762-F138-4A5C-976F-8EAC2B608ADB}">
              <a16:predDERef xmlns:a16="http://schemas.microsoft.com/office/drawing/2014/main" pred="{5D0404D5-DC2D-0E60-B0B8-C219375E53CD}"/>
            </a:ext>
          </a:extLst>
        </xdr:cNvPr>
        <xdr:cNvSpPr txBox="1"/>
      </xdr:nvSpPr>
      <xdr:spPr>
        <a:xfrm>
          <a:off x="7193280" y="1053465"/>
          <a:ext cx="720090" cy="291465"/>
        </a:xfrm>
        <a:prstGeom prst="rect">
          <a:avLst/>
        </a:prstGeom>
        <a:solidFill>
          <a:schemeClr val="lt1"/>
        </a:solidFill>
        <a:ln w="9525" cmpd="sng">
          <a:solidFill>
            <a:schemeClr val="bg1"/>
          </a:solidFill>
        </a:ln>
      </xdr:spPr>
      <xdr:txBody>
        <a:bodyPr vertOverflow="clip" horzOverflow="clip" rtlCol="0" anchor="ctr"/>
        <a:lstStyle/>
        <a:p>
          <a:pPr marL="0" indent="0" algn="ctr"/>
          <a:fld id="{0019035A-54E1-4A03-81FF-E802BDCE9B1C}" type="TxLink">
            <a:rPr lang="en-US" sz="1800" b="1" i="0" u="none" strike="noStrike">
              <a:solidFill>
                <a:srgbClr val="00B050"/>
              </a:solidFill>
              <a:latin typeface="Aptos Narrow"/>
              <a:ea typeface="+mn-lt"/>
              <a:cs typeface="+mn-lt"/>
            </a:rPr>
            <a:pPr marL="0" indent="0" algn="ctr"/>
            <a:t>115%</a:t>
          </a:fld>
          <a:endParaRPr lang="en-IN" sz="1800" b="1" i="0" u="none" strike="noStrike">
            <a:solidFill>
              <a:srgbClr val="00B050"/>
            </a:solidFill>
            <a:latin typeface="Aptos Narrow"/>
            <a:ea typeface="+mn-lt"/>
            <a:cs typeface="+mn-lt"/>
          </a:endParaRPr>
        </a:p>
      </xdr:txBody>
    </xdr:sp>
    <xdr:clientData/>
  </xdr:twoCellAnchor>
  <xdr:twoCellAnchor>
    <xdr:from>
      <xdr:col>7</xdr:col>
      <xdr:colOff>384810</xdr:colOff>
      <xdr:row>5</xdr:row>
      <xdr:rowOff>3810</xdr:rowOff>
    </xdr:from>
    <xdr:to>
      <xdr:col>11</xdr:col>
      <xdr:colOff>137160</xdr:colOff>
      <xdr:row>9</xdr:row>
      <xdr:rowOff>99060</xdr:rowOff>
    </xdr:to>
    <xdr:sp macro="" textlink="">
      <xdr:nvSpPr>
        <xdr:cNvPr id="4229" name="Rectangle 29">
          <a:extLst>
            <a:ext uri="{FF2B5EF4-FFF2-40B4-BE49-F238E27FC236}">
              <a16:creationId xmlns:a16="http://schemas.microsoft.com/office/drawing/2014/main" id="{B547B2D9-31D5-4EF2-841A-B093A5CE5B91}"/>
            </a:ext>
            <a:ext uri="{147F2762-F138-4A5C-976F-8EAC2B608ADB}">
              <a16:predDERef xmlns:a16="http://schemas.microsoft.com/office/drawing/2014/main" pred="{AF2C7398-8FA9-B5CB-1804-963E140BF174}"/>
            </a:ext>
          </a:extLst>
        </xdr:cNvPr>
        <xdr:cNvSpPr/>
      </xdr:nvSpPr>
      <xdr:spPr>
        <a:xfrm>
          <a:off x="4652010" y="908685"/>
          <a:ext cx="2190750" cy="81915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b"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400" b="1">
              <a:solidFill>
                <a:sysClr val="windowText" lastClr="000000"/>
              </a:solidFill>
              <a:effectLst/>
              <a:latin typeface="+mn-lt"/>
              <a:ea typeface="+mn-ea"/>
              <a:cs typeface="+mn-cs"/>
            </a:rPr>
            <a:t>Overall</a:t>
          </a:r>
          <a:r>
            <a:rPr lang="en-US" sz="1400" b="1" baseline="0">
              <a:solidFill>
                <a:sysClr val="windowText" lastClr="000000"/>
              </a:solidFill>
              <a:effectLst/>
              <a:latin typeface="+mn-lt"/>
              <a:ea typeface="+mn-ea"/>
              <a:cs typeface="+mn-cs"/>
            </a:rPr>
            <a:t> ROI %                                        </a:t>
          </a:r>
          <a:endParaRPr lang="en-US" sz="1800" b="1">
            <a:solidFill>
              <a:sysClr val="windowText" lastClr="000000"/>
            </a:solidFill>
            <a:latin typeface="+mn-lt"/>
            <a:ea typeface="+mn-lt"/>
            <a:cs typeface="+mn-lt"/>
          </a:endParaRPr>
        </a:p>
      </xdr:txBody>
    </xdr:sp>
    <xdr:clientData/>
  </xdr:twoCellAnchor>
  <xdr:twoCellAnchor>
    <xdr:from>
      <xdr:col>8</xdr:col>
      <xdr:colOff>299085</xdr:colOff>
      <xdr:row>5</xdr:row>
      <xdr:rowOff>142875</xdr:rowOff>
    </xdr:from>
    <xdr:to>
      <xdr:col>10</xdr:col>
      <xdr:colOff>222885</xdr:colOff>
      <xdr:row>7</xdr:row>
      <xdr:rowOff>161925</xdr:rowOff>
    </xdr:to>
    <xdr:sp macro="" textlink="'Pivots &amp; KPIs'!E3">
      <xdr:nvSpPr>
        <xdr:cNvPr id="5" name="TextBox 155">
          <a:extLst>
            <a:ext uri="{FF2B5EF4-FFF2-40B4-BE49-F238E27FC236}">
              <a16:creationId xmlns:a16="http://schemas.microsoft.com/office/drawing/2014/main" id="{D9C2B772-EA36-F372-F0FD-2CE12CF75E70}"/>
            </a:ext>
            <a:ext uri="{147F2762-F138-4A5C-976F-8EAC2B608ADB}">
              <a16:predDERef xmlns:a16="http://schemas.microsoft.com/office/drawing/2014/main" pred="{B547B2D9-31D5-4EF2-841A-B093A5CE5B91}"/>
            </a:ext>
          </a:extLst>
        </xdr:cNvPr>
        <xdr:cNvSpPr txBox="1"/>
      </xdr:nvSpPr>
      <xdr:spPr>
        <a:xfrm>
          <a:off x="5175885" y="1047750"/>
          <a:ext cx="1143000" cy="381000"/>
        </a:xfrm>
        <a:prstGeom prst="rect">
          <a:avLst/>
        </a:prstGeom>
        <a:solidFill>
          <a:schemeClr val="lt1"/>
        </a:solidFill>
        <a:ln w="9525" cmpd="sng">
          <a:solidFill>
            <a:schemeClr val="bg1"/>
          </a:solidFill>
        </a:ln>
      </xdr:spPr>
      <xdr:txBody>
        <a:bodyPr vertOverflow="clip" horzOverflow="clip" rtlCol="0" anchor="ctr"/>
        <a:lstStyle/>
        <a:p>
          <a:pPr marL="0" indent="0" algn="ctr"/>
          <a:fld id="{FEA106B4-64DB-4602-9DB6-857433507FF7}" type="TxLink">
            <a:rPr lang="en-US" sz="2000" b="1" i="0" u="none" strike="noStrike">
              <a:solidFill>
                <a:srgbClr val="000000"/>
              </a:solidFill>
              <a:latin typeface="Aptos Narrow"/>
              <a:ea typeface="+mn-lt"/>
              <a:cs typeface="+mn-lt"/>
            </a:rPr>
            <a:pPr marL="0" indent="0" algn="ctr"/>
            <a:t>299%</a:t>
          </a:fld>
          <a:endParaRPr lang="en-IN" sz="2000" b="1" i="0" u="none" strike="noStrike">
            <a:solidFill>
              <a:srgbClr val="000000"/>
            </a:solidFill>
            <a:latin typeface="Aptos Narrow"/>
            <a:ea typeface="+mn-lt"/>
            <a:cs typeface="+mn-lt"/>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28575</xdr:colOff>
      <xdr:row>22</xdr:row>
      <xdr:rowOff>80010</xdr:rowOff>
    </xdr:from>
    <xdr:to>
      <xdr:col>2</xdr:col>
      <xdr:colOff>304800</xdr:colOff>
      <xdr:row>29</xdr:row>
      <xdr:rowOff>175260</xdr:rowOff>
    </xdr:to>
    <mc:AlternateContent xmlns:mc="http://schemas.openxmlformats.org/markup-compatibility/2006" xmlns:a14="http://schemas.microsoft.com/office/drawing/2010/main">
      <mc:Choice Requires="a14">
        <xdr:graphicFrame macro="">
          <xdr:nvGraphicFramePr>
            <xdr:cNvPr id="58" name="Channel 2">
              <a:extLst>
                <a:ext uri="{FF2B5EF4-FFF2-40B4-BE49-F238E27FC236}">
                  <a16:creationId xmlns:a16="http://schemas.microsoft.com/office/drawing/2014/main" id="{1BA75805-7781-40C2-87DF-4EA3AB0ACE7E}"/>
                </a:ext>
                <a:ext uri="{147F2762-F138-4A5C-976F-8EAC2B608ADB}">
                  <a16:predDERef xmlns:a16="http://schemas.microsoft.com/office/drawing/2014/main" pred="{BEF58278-66D9-C93E-0103-7F10DD64C965}"/>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Channel 2"/>
            </a:graphicData>
          </a:graphic>
        </xdr:graphicFrame>
      </mc:Choice>
      <mc:Fallback xmlns="">
        <xdr:sp macro="" textlink="">
          <xdr:nvSpPr>
            <xdr:cNvPr id="0" name=""/>
            <xdr:cNvSpPr>
              <a:spLocks noTextEdit="1"/>
            </xdr:cNvSpPr>
          </xdr:nvSpPr>
          <xdr:spPr>
            <a:xfrm>
              <a:off x="28575" y="4103370"/>
              <a:ext cx="1495425" cy="13754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28575</xdr:colOff>
      <xdr:row>7</xdr:row>
      <xdr:rowOff>95250</xdr:rowOff>
    </xdr:from>
    <xdr:to>
      <xdr:col>2</xdr:col>
      <xdr:colOff>304800</xdr:colOff>
      <xdr:row>14</xdr:row>
      <xdr:rowOff>175260</xdr:rowOff>
    </xdr:to>
    <mc:AlternateContent xmlns:mc="http://schemas.openxmlformats.org/markup-compatibility/2006" xmlns:a14="http://schemas.microsoft.com/office/drawing/2010/main">
      <mc:Choice Requires="a14">
        <xdr:graphicFrame macro="">
          <xdr:nvGraphicFramePr>
            <xdr:cNvPr id="54" name="Quarter 2">
              <a:extLst>
                <a:ext uri="{FF2B5EF4-FFF2-40B4-BE49-F238E27FC236}">
                  <a16:creationId xmlns:a16="http://schemas.microsoft.com/office/drawing/2014/main" id="{293BFEFB-A76C-4CF4-99A3-7F1471804B58}"/>
                </a:ext>
                <a:ext uri="{147F2762-F138-4A5C-976F-8EAC2B608ADB}">
                  <a16:predDERef xmlns:a16="http://schemas.microsoft.com/office/drawing/2014/main" pred="{1BA75805-7781-40C2-87DF-4EA3AB0ACE7E}"/>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Quarter 2"/>
            </a:graphicData>
          </a:graphic>
        </xdr:graphicFrame>
      </mc:Choice>
      <mc:Fallback xmlns="">
        <xdr:sp macro="" textlink="">
          <xdr:nvSpPr>
            <xdr:cNvPr id="0" name=""/>
            <xdr:cNvSpPr>
              <a:spLocks noTextEdit="1"/>
            </xdr:cNvSpPr>
          </xdr:nvSpPr>
          <xdr:spPr>
            <a:xfrm>
              <a:off x="1219200" y="2194560"/>
              <a:ext cx="1421130" cy="13696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28575</xdr:colOff>
      <xdr:row>15</xdr:row>
      <xdr:rowOff>0</xdr:rowOff>
    </xdr:from>
    <xdr:to>
      <xdr:col>2</xdr:col>
      <xdr:colOff>304800</xdr:colOff>
      <xdr:row>22</xdr:row>
      <xdr:rowOff>68580</xdr:rowOff>
    </xdr:to>
    <mc:AlternateContent xmlns:mc="http://schemas.openxmlformats.org/markup-compatibility/2006" xmlns:a14="http://schemas.microsoft.com/office/drawing/2010/main">
      <mc:Choice Requires="a14">
        <xdr:graphicFrame macro="">
          <xdr:nvGraphicFramePr>
            <xdr:cNvPr id="4" name="Product 1">
              <a:extLst>
                <a:ext uri="{FF2B5EF4-FFF2-40B4-BE49-F238E27FC236}">
                  <a16:creationId xmlns:a16="http://schemas.microsoft.com/office/drawing/2014/main" id="{D4A85D03-609B-4AAB-888E-DD57CB81C685}"/>
                </a:ext>
                <a:ext uri="{147F2762-F138-4A5C-976F-8EAC2B608ADB}">
                  <a16:predDERef xmlns:a16="http://schemas.microsoft.com/office/drawing/2014/main" pred="{293BFEFB-A76C-4CF4-99A3-7F1471804B58}"/>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2438400" y="2011680"/>
              <a:ext cx="1495425" cy="13049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28575</xdr:colOff>
      <xdr:row>0</xdr:row>
      <xdr:rowOff>19050</xdr:rowOff>
    </xdr:from>
    <xdr:to>
      <xdr:col>2</xdr:col>
      <xdr:colOff>304800</xdr:colOff>
      <xdr:row>7</xdr:row>
      <xdr:rowOff>83820</xdr:rowOff>
    </xdr:to>
    <mc:AlternateContent xmlns:mc="http://schemas.openxmlformats.org/markup-compatibility/2006" xmlns:a14="http://schemas.microsoft.com/office/drawing/2010/main">
      <mc:Choice Requires="a14">
        <xdr:graphicFrame macro="">
          <xdr:nvGraphicFramePr>
            <xdr:cNvPr id="53" name="Region 1">
              <a:extLst>
                <a:ext uri="{FF2B5EF4-FFF2-40B4-BE49-F238E27FC236}">
                  <a16:creationId xmlns:a16="http://schemas.microsoft.com/office/drawing/2014/main" id="{222D164F-D327-41F3-A012-40661B121E8D}"/>
                </a:ext>
                <a:ext uri="{147F2762-F138-4A5C-976F-8EAC2B608ADB}">
                  <a16:predDERef xmlns:a16="http://schemas.microsoft.com/office/drawing/2014/main" pred="{D4A85D03-609B-4AAB-888E-DD57CB81C68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8575" y="19050"/>
              <a:ext cx="1495425" cy="13449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419100</xdr:colOff>
      <xdr:row>0</xdr:row>
      <xdr:rowOff>19050</xdr:rowOff>
    </xdr:from>
    <xdr:to>
      <xdr:col>16</xdr:col>
      <xdr:colOff>381000</xdr:colOff>
      <xdr:row>4</xdr:row>
      <xdr:rowOff>133350</xdr:rowOff>
    </xdr:to>
    <xdr:sp macro="" textlink="">
      <xdr:nvSpPr>
        <xdr:cNvPr id="88" name="TextBox 1">
          <a:extLst>
            <a:ext uri="{FF2B5EF4-FFF2-40B4-BE49-F238E27FC236}">
              <a16:creationId xmlns:a16="http://schemas.microsoft.com/office/drawing/2014/main" id="{088F5BDE-FFD7-587B-9CD8-26475E0EEB32}"/>
            </a:ext>
            <a:ext uri="{147F2762-F138-4A5C-976F-8EAC2B608ADB}">
              <a16:predDERef xmlns:a16="http://schemas.microsoft.com/office/drawing/2014/main" pred="{222D164F-D327-41F3-A012-40661B121E8D}"/>
            </a:ext>
          </a:extLst>
        </xdr:cNvPr>
        <xdr:cNvSpPr txBox="1"/>
      </xdr:nvSpPr>
      <xdr:spPr>
        <a:xfrm>
          <a:off x="3467100" y="19050"/>
          <a:ext cx="8210550" cy="838200"/>
        </a:xfrm>
        <a:prstGeom prst="rect">
          <a:avLst/>
        </a:prstGeom>
        <a:solidFill>
          <a:schemeClr val="lt1"/>
        </a:solidFill>
        <a:ln w="9525" cmpd="sng">
          <a:solidFill>
            <a:schemeClr val="bg1"/>
          </a:solidFill>
        </a:ln>
      </xdr:spPr>
      <xdr:txBody>
        <a:bodyPr spcFirstLastPara="0" vertOverflow="clip" horzOverflow="clip" wrap="square" lIns="91440" tIns="45720" rIns="91440" bIns="45720" rtlCol="0" anchor="t">
          <a:noAutofit/>
        </a:bodyPr>
        <a:lstStyle/>
        <a:p>
          <a:pPr marL="0" indent="0" algn="ctr"/>
          <a:r>
            <a:rPr lang="en-US" sz="2400" b="1">
              <a:latin typeface="+mn-lt"/>
              <a:ea typeface="+mn-lt"/>
              <a:cs typeface="+mn-lt"/>
            </a:rPr>
            <a:t>REGIONAL </a:t>
          </a:r>
          <a:r>
            <a:rPr lang="en-US" sz="2400" b="1" baseline="0">
              <a:latin typeface="+mn-lt"/>
              <a:ea typeface="+mn-lt"/>
              <a:cs typeface="+mn-lt"/>
            </a:rPr>
            <a:t> </a:t>
          </a:r>
          <a:r>
            <a:rPr lang="en-US" sz="2400" b="1">
              <a:latin typeface="+mn-lt"/>
              <a:ea typeface="+mn-lt"/>
              <a:cs typeface="+mn-lt"/>
            </a:rPr>
            <a:t>PERFORMANCE</a:t>
          </a:r>
          <a:r>
            <a:rPr lang="en-US" sz="2400" b="1" baseline="0">
              <a:latin typeface="+mn-lt"/>
              <a:ea typeface="+mn-lt"/>
              <a:cs typeface="+mn-lt"/>
            </a:rPr>
            <a:t>  </a:t>
          </a:r>
          <a:r>
            <a:rPr lang="en-US" sz="2400" b="1">
              <a:latin typeface="+mn-lt"/>
              <a:ea typeface="+mn-lt"/>
              <a:cs typeface="+mn-lt"/>
            </a:rPr>
            <a:t>ANALYSIS</a:t>
          </a:r>
        </a:p>
        <a:p>
          <a:pPr marL="0" indent="0" algn="ctr"/>
          <a:r>
            <a:rPr lang="en-US" sz="2000" b="1">
              <a:latin typeface="+mn-lt"/>
              <a:ea typeface="+mn-lt"/>
              <a:cs typeface="+mn-lt"/>
            </a:rPr>
            <a:t>How Efficiently Did </a:t>
          </a:r>
          <a:r>
            <a:rPr lang="en-US" sz="2000" b="1">
              <a:solidFill>
                <a:srgbClr val="38C2AD"/>
              </a:solidFill>
              <a:latin typeface="+mn-lt"/>
              <a:ea typeface="+mn-lt"/>
              <a:cs typeface="+mn-lt"/>
            </a:rPr>
            <a:t>Regions</a:t>
          </a:r>
          <a:r>
            <a:rPr lang="en-US" sz="2000" b="1" baseline="0">
              <a:solidFill>
                <a:srgbClr val="38C2AD"/>
              </a:solidFill>
              <a:latin typeface="+mn-lt"/>
              <a:ea typeface="+mn-lt"/>
              <a:cs typeface="+mn-lt"/>
            </a:rPr>
            <a:t> Perform </a:t>
          </a:r>
          <a:r>
            <a:rPr lang="en-US" sz="2000" b="1" baseline="0">
              <a:latin typeface="+mn-lt"/>
              <a:ea typeface="+mn-lt"/>
              <a:cs typeface="+mn-lt"/>
            </a:rPr>
            <a:t>? </a:t>
          </a:r>
          <a:endParaRPr lang="en-US" sz="2000" b="1">
            <a:latin typeface="+mn-lt"/>
            <a:ea typeface="+mn-lt"/>
            <a:cs typeface="+mn-lt"/>
          </a:endParaRPr>
        </a:p>
      </xdr:txBody>
    </xdr:sp>
    <xdr:clientData/>
  </xdr:twoCellAnchor>
  <xdr:twoCellAnchor>
    <xdr:from>
      <xdr:col>4</xdr:col>
      <xdr:colOff>95250</xdr:colOff>
      <xdr:row>4</xdr:row>
      <xdr:rowOff>133350</xdr:rowOff>
    </xdr:from>
    <xdr:to>
      <xdr:col>18</xdr:col>
      <xdr:colOff>133350</xdr:colOff>
      <xdr:row>4</xdr:row>
      <xdr:rowOff>142875</xdr:rowOff>
    </xdr:to>
    <xdr:cxnSp macro="">
      <xdr:nvCxnSpPr>
        <xdr:cNvPr id="90" name="Straight Connector 35">
          <a:extLst>
            <a:ext uri="{FF2B5EF4-FFF2-40B4-BE49-F238E27FC236}">
              <a16:creationId xmlns:a16="http://schemas.microsoft.com/office/drawing/2014/main" id="{B5E2665D-3264-C2BD-29E8-21729A5771E6}"/>
            </a:ext>
            <a:ext uri="{147F2762-F138-4A5C-976F-8EAC2B608ADB}">
              <a16:predDERef xmlns:a16="http://schemas.microsoft.com/office/drawing/2014/main" pred="{088F5BDE-FFD7-587B-9CD8-26475E0EEB32}"/>
            </a:ext>
          </a:extLst>
        </xdr:cNvPr>
        <xdr:cNvCxnSpPr>
          <a:cxnSpLocks/>
        </xdr:cNvCxnSpPr>
      </xdr:nvCxnSpPr>
      <xdr:spPr>
        <a:xfrm flipV="1">
          <a:off x="2533650" y="857250"/>
          <a:ext cx="10153650" cy="9525"/>
        </a:xfrm>
        <a:prstGeom prst="line">
          <a:avLst/>
        </a:prstGeom>
        <a:ln>
          <a:solidFill>
            <a:schemeClr val="tx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342900</xdr:colOff>
      <xdr:row>6</xdr:row>
      <xdr:rowOff>7620</xdr:rowOff>
    </xdr:from>
    <xdr:to>
      <xdr:col>5</xdr:col>
      <xdr:colOff>533400</xdr:colOff>
      <xdr:row>9</xdr:row>
      <xdr:rowOff>150495</xdr:rowOff>
    </xdr:to>
    <xdr:sp macro="" textlink="">
      <xdr:nvSpPr>
        <xdr:cNvPr id="185" name="Rectangle 38">
          <a:extLst>
            <a:ext uri="{FF2B5EF4-FFF2-40B4-BE49-F238E27FC236}">
              <a16:creationId xmlns:a16="http://schemas.microsoft.com/office/drawing/2014/main" id="{070C1359-A4B8-4483-5206-DD66A49E23BB}"/>
            </a:ext>
            <a:ext uri="{147F2762-F138-4A5C-976F-8EAC2B608ADB}">
              <a16:predDERef xmlns:a16="http://schemas.microsoft.com/office/drawing/2014/main" pred="{B5E2665D-3264-C2BD-29E8-21729A5771E6}"/>
            </a:ext>
          </a:extLst>
        </xdr:cNvPr>
        <xdr:cNvSpPr/>
      </xdr:nvSpPr>
      <xdr:spPr>
        <a:xfrm>
          <a:off x="1562100" y="1104900"/>
          <a:ext cx="2019300" cy="691515"/>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b">
          <a:noAutofit/>
        </a:bodyPr>
        <a:lstStyle/>
        <a:p>
          <a:pPr marL="0" indent="0" algn="ctr"/>
          <a:r>
            <a:rPr lang="en-US" sz="1400" b="1">
              <a:solidFill>
                <a:srgbClr val="000000"/>
              </a:solidFill>
              <a:latin typeface="+mn-lt"/>
              <a:ea typeface="+mn-lt"/>
              <a:cs typeface="+mn-lt"/>
            </a:rPr>
            <a:t>Regional Spend</a:t>
          </a:r>
        </a:p>
      </xdr:txBody>
    </xdr:sp>
    <xdr:clientData/>
  </xdr:twoCellAnchor>
  <xdr:twoCellAnchor>
    <xdr:from>
      <xdr:col>6</xdr:col>
      <xdr:colOff>133350</xdr:colOff>
      <xdr:row>5</xdr:row>
      <xdr:rowOff>169545</xdr:rowOff>
    </xdr:from>
    <xdr:to>
      <xdr:col>9</xdr:col>
      <xdr:colOff>323850</xdr:colOff>
      <xdr:row>9</xdr:row>
      <xdr:rowOff>129540</xdr:rowOff>
    </xdr:to>
    <xdr:sp macro="" textlink="">
      <xdr:nvSpPr>
        <xdr:cNvPr id="195" name="Rectangle 39">
          <a:extLst>
            <a:ext uri="{FF2B5EF4-FFF2-40B4-BE49-F238E27FC236}">
              <a16:creationId xmlns:a16="http://schemas.microsoft.com/office/drawing/2014/main" id="{C0AE30CB-815E-46EF-98BA-82D4122967FE}"/>
            </a:ext>
            <a:ext uri="{147F2762-F138-4A5C-976F-8EAC2B608ADB}">
              <a16:predDERef xmlns:a16="http://schemas.microsoft.com/office/drawing/2014/main" pred="{070C1359-A4B8-4483-5206-DD66A49E23BB}"/>
            </a:ext>
          </a:extLst>
        </xdr:cNvPr>
        <xdr:cNvSpPr/>
      </xdr:nvSpPr>
      <xdr:spPr>
        <a:xfrm>
          <a:off x="3790950" y="1083945"/>
          <a:ext cx="2019300" cy="691515"/>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b">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400" b="1">
              <a:solidFill>
                <a:srgbClr val="000000"/>
              </a:solidFill>
              <a:latin typeface="+mn-lt"/>
              <a:ea typeface="+mn-lt"/>
              <a:cs typeface="+mn-lt"/>
            </a:rPr>
            <a:t>Regional Revenue</a:t>
          </a:r>
        </a:p>
      </xdr:txBody>
    </xdr:sp>
    <xdr:clientData/>
  </xdr:twoCellAnchor>
  <xdr:twoCellAnchor>
    <xdr:from>
      <xdr:col>0</xdr:col>
      <xdr:colOff>47625</xdr:colOff>
      <xdr:row>0</xdr:row>
      <xdr:rowOff>0</xdr:rowOff>
    </xdr:from>
    <xdr:to>
      <xdr:col>0</xdr:col>
      <xdr:colOff>47625</xdr:colOff>
      <xdr:row>0</xdr:row>
      <xdr:rowOff>0</xdr:rowOff>
    </xdr:to>
    <xdr:sp macro="" textlink="">
      <xdr:nvSpPr>
        <xdr:cNvPr id="5" name="Rectangle 40">
          <a:extLst>
            <a:ext uri="{FF2B5EF4-FFF2-40B4-BE49-F238E27FC236}">
              <a16:creationId xmlns:a16="http://schemas.microsoft.com/office/drawing/2014/main" id="{575F21AB-12C4-4835-A57B-846D06A6CF11}"/>
            </a:ext>
            <a:ext uri="{147F2762-F138-4A5C-976F-8EAC2B608ADB}">
              <a16:predDERef xmlns:a16="http://schemas.microsoft.com/office/drawing/2014/main" pred="{C0AE30CB-815E-46EF-98BA-82D4122967FE}"/>
            </a:ext>
          </a:extLst>
        </xdr:cNvPr>
        <xdr:cNvSpPr/>
      </xdr:nvSpPr>
      <xdr:spPr>
        <a:xfrm>
          <a:off x="47625" y="0"/>
          <a:ext cx="0" cy="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b">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400" b="1">
              <a:solidFill>
                <a:srgbClr val="000000"/>
              </a:solidFill>
              <a:latin typeface="+mn-lt"/>
              <a:ea typeface="+mn-lt"/>
              <a:cs typeface="+mn-lt"/>
            </a:rPr>
            <a:t>Conversion Rate %</a:t>
          </a:r>
        </a:p>
      </xdr:txBody>
    </xdr:sp>
    <xdr:clientData/>
  </xdr:twoCellAnchor>
  <xdr:twoCellAnchor>
    <xdr:from>
      <xdr:col>12</xdr:col>
      <xdr:colOff>584835</xdr:colOff>
      <xdr:row>6</xdr:row>
      <xdr:rowOff>9525</xdr:rowOff>
    </xdr:from>
    <xdr:to>
      <xdr:col>15</xdr:col>
      <xdr:colOff>775335</xdr:colOff>
      <xdr:row>9</xdr:row>
      <xdr:rowOff>152400</xdr:rowOff>
    </xdr:to>
    <xdr:sp macro="" textlink="">
      <xdr:nvSpPr>
        <xdr:cNvPr id="9" name="Rectangle 41">
          <a:extLst>
            <a:ext uri="{FF2B5EF4-FFF2-40B4-BE49-F238E27FC236}">
              <a16:creationId xmlns:a16="http://schemas.microsoft.com/office/drawing/2014/main" id="{D489579E-1B51-4F1B-BDF2-741B84C5DD97}"/>
            </a:ext>
            <a:ext uri="{147F2762-F138-4A5C-976F-8EAC2B608ADB}">
              <a16:predDERef xmlns:a16="http://schemas.microsoft.com/office/drawing/2014/main" pred="{575F21AB-12C4-4835-A57B-846D06A6CF11}"/>
            </a:ext>
          </a:extLst>
        </xdr:cNvPr>
        <xdr:cNvSpPr/>
      </xdr:nvSpPr>
      <xdr:spPr>
        <a:xfrm>
          <a:off x="7900035" y="1095375"/>
          <a:ext cx="2019300" cy="6858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b">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600" b="1">
              <a:solidFill>
                <a:srgbClr val="00B050"/>
              </a:solidFill>
              <a:latin typeface="+mn-lt"/>
              <a:ea typeface="+mn-lt"/>
              <a:cs typeface="+mn-lt"/>
            </a:rPr>
            <a:t>ROI</a:t>
          </a:r>
          <a:endParaRPr lang="en-US" sz="1400" b="1">
            <a:solidFill>
              <a:srgbClr val="00B050"/>
            </a:solidFill>
            <a:latin typeface="+mn-lt"/>
            <a:ea typeface="+mn-lt"/>
            <a:cs typeface="+mn-lt"/>
          </a:endParaRPr>
        </a:p>
      </xdr:txBody>
    </xdr:sp>
    <xdr:clientData/>
  </xdr:twoCellAnchor>
  <xdr:twoCellAnchor>
    <xdr:from>
      <xdr:col>2</xdr:col>
      <xdr:colOff>561975</xdr:colOff>
      <xdr:row>6</xdr:row>
      <xdr:rowOff>45720</xdr:rowOff>
    </xdr:from>
    <xdr:to>
      <xdr:col>5</xdr:col>
      <xdr:colOff>222885</xdr:colOff>
      <xdr:row>8</xdr:row>
      <xdr:rowOff>26670</xdr:rowOff>
    </xdr:to>
    <xdr:sp macro="" textlink="'Pivots &amp; KPIs'!$A$4">
      <xdr:nvSpPr>
        <xdr:cNvPr id="116" name="TextBox 42">
          <a:extLst>
            <a:ext uri="{FF2B5EF4-FFF2-40B4-BE49-F238E27FC236}">
              <a16:creationId xmlns:a16="http://schemas.microsoft.com/office/drawing/2014/main" id="{6383D8CA-338B-4DE8-B1D6-206EAFF7A520}"/>
            </a:ext>
            <a:ext uri="{147F2762-F138-4A5C-976F-8EAC2B608ADB}">
              <a16:predDERef xmlns:a16="http://schemas.microsoft.com/office/drawing/2014/main" pred="{D489579E-1B51-4F1B-BDF2-741B84C5DD97}"/>
            </a:ext>
          </a:extLst>
        </xdr:cNvPr>
        <xdr:cNvSpPr txBox="1"/>
      </xdr:nvSpPr>
      <xdr:spPr>
        <a:xfrm>
          <a:off x="1781175" y="1131570"/>
          <a:ext cx="1489710" cy="342900"/>
        </a:xfrm>
        <a:prstGeom prst="rect">
          <a:avLst/>
        </a:prstGeom>
        <a:solidFill>
          <a:schemeClr val="lt1"/>
        </a:solidFill>
        <a:ln w="9525" cmpd="sng">
          <a:solidFill>
            <a:schemeClr val="bg1"/>
          </a:solidFill>
        </a:ln>
      </xdr:spPr>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fld id="{BDD8458C-A590-40B1-8A40-01E24B1BF49E}" type="TxLink">
            <a:rPr lang="en-US" sz="2400" b="1" i="0" u="none" strike="noStrike">
              <a:solidFill>
                <a:srgbClr val="000000"/>
              </a:solidFill>
              <a:latin typeface="Aptos Narrow"/>
            </a:rPr>
            <a:pPr algn="ctr"/>
            <a:t> $2,61,166 </a:t>
          </a:fld>
          <a:endParaRPr lang="en-US" sz="2400" b="1"/>
        </a:p>
      </xdr:txBody>
    </xdr:sp>
    <xdr:clientData/>
  </xdr:twoCellAnchor>
  <xdr:twoCellAnchor>
    <xdr:from>
      <xdr:col>13</xdr:col>
      <xdr:colOff>438150</xdr:colOff>
      <xdr:row>6</xdr:row>
      <xdr:rowOff>26670</xdr:rowOff>
    </xdr:from>
    <xdr:to>
      <xdr:col>15</xdr:col>
      <xdr:colOff>428625</xdr:colOff>
      <xdr:row>8</xdr:row>
      <xdr:rowOff>7620</xdr:rowOff>
    </xdr:to>
    <xdr:sp macro="" textlink="'Pivots &amp; KPIs'!$E$3">
      <xdr:nvSpPr>
        <xdr:cNvPr id="194" name="TextBox 43">
          <a:extLst>
            <a:ext uri="{FF2B5EF4-FFF2-40B4-BE49-F238E27FC236}">
              <a16:creationId xmlns:a16="http://schemas.microsoft.com/office/drawing/2014/main" id="{050A76F5-83D8-4A71-9CC4-084A65975DC8}"/>
            </a:ext>
            <a:ext uri="{147F2762-F138-4A5C-976F-8EAC2B608ADB}">
              <a16:predDERef xmlns:a16="http://schemas.microsoft.com/office/drawing/2014/main" pred="{6383D8CA-338B-4DE8-B1D6-206EAFF7A520}"/>
            </a:ext>
          </a:extLst>
        </xdr:cNvPr>
        <xdr:cNvSpPr txBox="1"/>
      </xdr:nvSpPr>
      <xdr:spPr>
        <a:xfrm>
          <a:off x="8416290" y="1123950"/>
          <a:ext cx="1209675" cy="346710"/>
        </a:xfrm>
        <a:prstGeom prst="rect">
          <a:avLst/>
        </a:prstGeom>
        <a:solidFill>
          <a:schemeClr val="lt1"/>
        </a:solidFill>
        <a:ln w="9525" cmpd="sng">
          <a:solidFill>
            <a:schemeClr val="bg1"/>
          </a:solidFill>
        </a:ln>
      </xdr:spPr>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fld id="{0D586A14-0C89-4B27-A094-D1B6178ED822}" type="TxLink">
            <a:rPr lang="en-US" sz="2400" b="1" i="0" u="none" strike="noStrike">
              <a:solidFill>
                <a:srgbClr val="00B050"/>
              </a:solidFill>
              <a:latin typeface="Aptos Narrow"/>
              <a:ea typeface="+mn-ea"/>
              <a:cs typeface="+mn-cs"/>
            </a:rPr>
            <a:pPr marL="0" indent="0" algn="ctr"/>
            <a:t>299%</a:t>
          </a:fld>
          <a:endParaRPr lang="en-US" sz="2400" b="1" i="0" u="none" strike="noStrike">
            <a:solidFill>
              <a:srgbClr val="00B050"/>
            </a:solidFill>
            <a:latin typeface="Aptos Narrow"/>
            <a:ea typeface="+mn-ea"/>
            <a:cs typeface="+mn-cs"/>
          </a:endParaRPr>
        </a:p>
      </xdr:txBody>
    </xdr:sp>
    <xdr:clientData/>
  </xdr:twoCellAnchor>
  <xdr:twoCellAnchor>
    <xdr:from>
      <xdr:col>6</xdr:col>
      <xdr:colOff>312420</xdr:colOff>
      <xdr:row>6</xdr:row>
      <xdr:rowOff>83820</xdr:rowOff>
    </xdr:from>
    <xdr:to>
      <xdr:col>9</xdr:col>
      <xdr:colOff>104775</xdr:colOff>
      <xdr:row>8</xdr:row>
      <xdr:rowOff>64770</xdr:rowOff>
    </xdr:to>
    <xdr:sp macro="" textlink="'Pivots &amp; KPIs'!$C$4">
      <xdr:nvSpPr>
        <xdr:cNvPr id="151" name="TextBox 45">
          <a:extLst>
            <a:ext uri="{FF2B5EF4-FFF2-40B4-BE49-F238E27FC236}">
              <a16:creationId xmlns:a16="http://schemas.microsoft.com/office/drawing/2014/main" id="{9B53E419-2844-48CD-AAB8-9D2E78F91513}"/>
            </a:ext>
            <a:ext uri="{147F2762-F138-4A5C-976F-8EAC2B608ADB}">
              <a16:predDERef xmlns:a16="http://schemas.microsoft.com/office/drawing/2014/main" pred="{5FB73FCF-E0F7-43F6-804B-66B4E9AF45C6}"/>
            </a:ext>
          </a:extLst>
        </xdr:cNvPr>
        <xdr:cNvSpPr txBox="1"/>
      </xdr:nvSpPr>
      <xdr:spPr>
        <a:xfrm>
          <a:off x="3970020" y="1181100"/>
          <a:ext cx="1621155" cy="346710"/>
        </a:xfrm>
        <a:prstGeom prst="rect">
          <a:avLst/>
        </a:prstGeom>
        <a:solidFill>
          <a:schemeClr val="lt1"/>
        </a:solidFill>
        <a:ln w="9525" cmpd="sng">
          <a:solidFill>
            <a:schemeClr val="bg1"/>
          </a:solidFill>
        </a:ln>
      </xdr:spPr>
      <xdr:txBody>
        <a:bodyPr rot="0" spcFirstLastPara="0" vert="horz" wrap="square" lIns="91440" tIns="45720" rIns="91440" bIns="45720" numCol="1" spcCol="0" rtlCol="0" fromWordArt="0" anchor="b"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fld id="{7E8FA223-34F4-4286-9333-72823CD974CD}" type="TxLink">
            <a:rPr lang="en-US" sz="2400" b="1" i="0" u="none" strike="noStrike">
              <a:solidFill>
                <a:srgbClr val="000000"/>
              </a:solidFill>
              <a:latin typeface="Aptos Narrow"/>
              <a:ea typeface="+mn-ea"/>
              <a:cs typeface="+mn-cs"/>
            </a:rPr>
            <a:pPr marL="0" indent="0" algn="ctr"/>
            <a:t> $10,42,480 </a:t>
          </a:fld>
          <a:endParaRPr lang="en-US" sz="2400" b="1" i="0" u="none" strike="noStrike">
            <a:solidFill>
              <a:srgbClr val="000000"/>
            </a:solidFill>
            <a:latin typeface="Aptos Narrow"/>
            <a:ea typeface="+mn-ea"/>
            <a:cs typeface="+mn-cs"/>
          </a:endParaRPr>
        </a:p>
      </xdr:txBody>
    </xdr:sp>
    <xdr:clientData/>
  </xdr:twoCellAnchor>
  <xdr:twoCellAnchor>
    <xdr:from>
      <xdr:col>2</xdr:col>
      <xdr:colOff>400050</xdr:colOff>
      <xdr:row>11</xdr:row>
      <xdr:rowOff>28574</xdr:rowOff>
    </xdr:from>
    <xdr:to>
      <xdr:col>9</xdr:col>
      <xdr:colOff>171450</xdr:colOff>
      <xdr:row>29</xdr:row>
      <xdr:rowOff>133349</xdr:rowOff>
    </xdr:to>
    <xdr:graphicFrame macro="">
      <xdr:nvGraphicFramePr>
        <xdr:cNvPr id="241" name="Chart 1">
          <a:extLst>
            <a:ext uri="{FF2B5EF4-FFF2-40B4-BE49-F238E27FC236}">
              <a16:creationId xmlns:a16="http://schemas.microsoft.com/office/drawing/2014/main" id="{A3CA9AEF-9897-4CF5-B2C5-9AD7E2B34998}"/>
            </a:ext>
            <a:ext uri="{147F2762-F138-4A5C-976F-8EAC2B608ADB}">
              <a16:predDERef xmlns:a16="http://schemas.microsoft.com/office/drawing/2014/main" pred="{9B53E419-2844-48CD-AAB8-9D2E78F915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817245</xdr:colOff>
      <xdr:row>4</xdr:row>
      <xdr:rowOff>171450</xdr:rowOff>
    </xdr:from>
    <xdr:to>
      <xdr:col>20</xdr:col>
      <xdr:colOff>283845</xdr:colOff>
      <xdr:row>17</xdr:row>
      <xdr:rowOff>66675</xdr:rowOff>
    </xdr:to>
    <xdr:graphicFrame macro="">
      <xdr:nvGraphicFramePr>
        <xdr:cNvPr id="6" name="Chart 2">
          <a:extLst>
            <a:ext uri="{FF2B5EF4-FFF2-40B4-BE49-F238E27FC236}">
              <a16:creationId xmlns:a16="http://schemas.microsoft.com/office/drawing/2014/main" id="{80B94E7E-E4C6-4A29-851B-B3CACD705B4F}"/>
            </a:ext>
            <a:ext uri="{147F2762-F138-4A5C-976F-8EAC2B608ADB}">
              <a16:predDERef xmlns:a16="http://schemas.microsoft.com/office/drawing/2014/main" pred="{A3CA9AEF-9897-4CF5-B2C5-9AD7E2B349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209550</xdr:colOff>
      <xdr:row>11</xdr:row>
      <xdr:rowOff>28575</xdr:rowOff>
    </xdr:from>
    <xdr:to>
      <xdr:col>15</xdr:col>
      <xdr:colOff>752475</xdr:colOff>
      <xdr:row>29</xdr:row>
      <xdr:rowOff>133350</xdr:rowOff>
    </xdr:to>
    <xdr:graphicFrame macro="">
      <xdr:nvGraphicFramePr>
        <xdr:cNvPr id="287" name="Chart 3">
          <a:extLst>
            <a:ext uri="{FF2B5EF4-FFF2-40B4-BE49-F238E27FC236}">
              <a16:creationId xmlns:a16="http://schemas.microsoft.com/office/drawing/2014/main" id="{B4FB9FFA-2D2B-4BCE-9332-CF1A01E17683}"/>
            </a:ext>
            <a:ext uri="{147F2762-F138-4A5C-976F-8EAC2B608ADB}">
              <a16:predDERef xmlns:a16="http://schemas.microsoft.com/office/drawing/2014/main" pred="{80B94E7E-E4C6-4A29-851B-B3CACD705B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819150</xdr:colOff>
      <xdr:row>17</xdr:row>
      <xdr:rowOff>95250</xdr:rowOff>
    </xdr:from>
    <xdr:to>
      <xdr:col>20</xdr:col>
      <xdr:colOff>285750</xdr:colOff>
      <xdr:row>29</xdr:row>
      <xdr:rowOff>142875</xdr:rowOff>
    </xdr:to>
    <xdr:graphicFrame macro="">
      <xdr:nvGraphicFramePr>
        <xdr:cNvPr id="14" name="Chart 4">
          <a:extLst>
            <a:ext uri="{FF2B5EF4-FFF2-40B4-BE49-F238E27FC236}">
              <a16:creationId xmlns:a16="http://schemas.microsoft.com/office/drawing/2014/main" id="{8AF73503-BD1D-4FCE-863F-FEA2E3E675D5}"/>
            </a:ext>
            <a:ext uri="{147F2762-F138-4A5C-976F-8EAC2B608ADB}">
              <a16:predDERef xmlns:a16="http://schemas.microsoft.com/office/drawing/2014/main" pred="{B4FB9FFA-2D2B-4BCE-9332-CF1A01E176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381000</xdr:colOff>
      <xdr:row>6</xdr:row>
      <xdr:rowOff>9525</xdr:rowOff>
    </xdr:from>
    <xdr:to>
      <xdr:col>12</xdr:col>
      <xdr:colOff>609600</xdr:colOff>
      <xdr:row>9</xdr:row>
      <xdr:rowOff>152400</xdr:rowOff>
    </xdr:to>
    <xdr:sp macro="" textlink="">
      <xdr:nvSpPr>
        <xdr:cNvPr id="2" name="Rectangle 1">
          <a:extLst>
            <a:ext uri="{FF2B5EF4-FFF2-40B4-BE49-F238E27FC236}">
              <a16:creationId xmlns:a16="http://schemas.microsoft.com/office/drawing/2014/main" id="{2A00A880-43AB-4A96-BEC1-63994FF27436}"/>
            </a:ext>
            <a:ext uri="{147F2762-F138-4A5C-976F-8EAC2B608ADB}">
              <a16:predDERef xmlns:a16="http://schemas.microsoft.com/office/drawing/2014/main" pred="{8AF73503-BD1D-4FCE-863F-FEA2E3E675D5}"/>
            </a:ext>
          </a:extLst>
        </xdr:cNvPr>
        <xdr:cNvSpPr/>
      </xdr:nvSpPr>
      <xdr:spPr>
        <a:xfrm>
          <a:off x="5867400" y="1095375"/>
          <a:ext cx="2057400" cy="6858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b">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400" b="1">
              <a:solidFill>
                <a:srgbClr val="000000"/>
              </a:solidFill>
              <a:latin typeface="+mn-lt"/>
              <a:ea typeface="+mn-lt"/>
              <a:cs typeface="+mn-lt"/>
            </a:rPr>
            <a:t>Conversion Rate %</a:t>
          </a:r>
        </a:p>
      </xdr:txBody>
    </xdr:sp>
    <xdr:clientData/>
  </xdr:twoCellAnchor>
  <xdr:twoCellAnchor>
    <xdr:from>
      <xdr:col>10</xdr:col>
      <xdr:colOff>180975</xdr:colOff>
      <xdr:row>6</xdr:row>
      <xdr:rowOff>28575</xdr:rowOff>
    </xdr:from>
    <xdr:to>
      <xdr:col>12</xdr:col>
      <xdr:colOff>171450</xdr:colOff>
      <xdr:row>8</xdr:row>
      <xdr:rowOff>9525</xdr:rowOff>
    </xdr:to>
    <xdr:sp macro="" textlink="'Pivots &amp; KPIs'!$J$3">
      <xdr:nvSpPr>
        <xdr:cNvPr id="7" name="TextBox 44">
          <a:extLst>
            <a:ext uri="{FF2B5EF4-FFF2-40B4-BE49-F238E27FC236}">
              <a16:creationId xmlns:a16="http://schemas.microsoft.com/office/drawing/2014/main" id="{5FB73FCF-E0F7-43F6-804B-66B4E9AF45C6}"/>
            </a:ext>
            <a:ext uri="{147F2762-F138-4A5C-976F-8EAC2B608ADB}">
              <a16:predDERef xmlns:a16="http://schemas.microsoft.com/office/drawing/2014/main" pred="{2A00A880-43AB-4A96-BEC1-63994FF27436}"/>
            </a:ext>
          </a:extLst>
        </xdr:cNvPr>
        <xdr:cNvSpPr txBox="1"/>
      </xdr:nvSpPr>
      <xdr:spPr>
        <a:xfrm>
          <a:off x="6276975" y="1114425"/>
          <a:ext cx="1209675" cy="342900"/>
        </a:xfrm>
        <a:prstGeom prst="rect">
          <a:avLst/>
        </a:prstGeom>
        <a:solidFill>
          <a:schemeClr val="lt1"/>
        </a:solidFill>
        <a:ln w="9525" cmpd="sng">
          <a:solidFill>
            <a:schemeClr val="bg1"/>
          </a:solidFill>
        </a:ln>
      </xdr:spPr>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fld id="{0BBC0756-7054-4863-9BA5-ED0CE63601BC}" type="TxLink">
            <a:rPr lang="en-US" sz="2400" b="1" i="0" u="none" strike="noStrike">
              <a:solidFill>
                <a:srgbClr val="000000"/>
              </a:solidFill>
              <a:latin typeface="Aptos Narrow"/>
              <a:ea typeface="+mn-ea"/>
              <a:cs typeface="+mn-cs"/>
            </a:rPr>
            <a:pPr marL="0" indent="0" algn="ctr"/>
            <a:t>5%</a:t>
          </a:fld>
          <a:endParaRPr lang="en-US" sz="2400" b="1" i="0" u="none" strike="noStrike">
            <a:solidFill>
              <a:srgbClr val="000000"/>
            </a:solidFill>
            <a:latin typeface="Aptos Narrow"/>
            <a:ea typeface="+mn-ea"/>
            <a:cs typeface="+mn-cs"/>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19050</xdr:colOff>
      <xdr:row>15</xdr:row>
      <xdr:rowOff>5715</xdr:rowOff>
    </xdr:from>
    <xdr:to>
      <xdr:col>2</xdr:col>
      <xdr:colOff>295275</xdr:colOff>
      <xdr:row>22</xdr:row>
      <xdr:rowOff>68580</xdr:rowOff>
    </xdr:to>
    <mc:AlternateContent xmlns:mc="http://schemas.openxmlformats.org/markup-compatibility/2006" xmlns:a14="http://schemas.microsoft.com/office/drawing/2010/main">
      <mc:Choice Requires="a14">
        <xdr:graphicFrame macro="">
          <xdr:nvGraphicFramePr>
            <xdr:cNvPr id="76" name="Channel 3">
              <a:extLst>
                <a:ext uri="{FF2B5EF4-FFF2-40B4-BE49-F238E27FC236}">
                  <a16:creationId xmlns:a16="http://schemas.microsoft.com/office/drawing/2014/main" id="{730CFDC4-2D74-4EF0-AB1B-7FB971B59160}"/>
                </a:ext>
                <a:ext uri="{147F2762-F138-4A5C-976F-8EAC2B608ADB}">
                  <a16:predDERef xmlns:a16="http://schemas.microsoft.com/office/drawing/2014/main" pred="{C9B093CD-5ED7-B0FF-FA19-4FF1F041A7E5}"/>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Channel 3"/>
            </a:graphicData>
          </a:graphic>
        </xdr:graphicFrame>
      </mc:Choice>
      <mc:Fallback xmlns="">
        <xdr:sp macro="" textlink="">
          <xdr:nvSpPr>
            <xdr:cNvPr id="0" name=""/>
            <xdr:cNvSpPr>
              <a:spLocks noTextEdit="1"/>
            </xdr:cNvSpPr>
          </xdr:nvSpPr>
          <xdr:spPr>
            <a:xfrm>
              <a:off x="19050" y="2748915"/>
              <a:ext cx="1495425" cy="13430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xdr:colOff>
      <xdr:row>7</xdr:row>
      <xdr:rowOff>60960</xdr:rowOff>
    </xdr:from>
    <xdr:to>
      <xdr:col>2</xdr:col>
      <xdr:colOff>295275</xdr:colOff>
      <xdr:row>15</xdr:row>
      <xdr:rowOff>0</xdr:rowOff>
    </xdr:to>
    <mc:AlternateContent xmlns:mc="http://schemas.openxmlformats.org/markup-compatibility/2006" xmlns:a14="http://schemas.microsoft.com/office/drawing/2010/main">
      <mc:Choice Requires="a14">
        <xdr:graphicFrame macro="">
          <xdr:nvGraphicFramePr>
            <xdr:cNvPr id="72" name="Quarter 3">
              <a:extLst>
                <a:ext uri="{FF2B5EF4-FFF2-40B4-BE49-F238E27FC236}">
                  <a16:creationId xmlns:a16="http://schemas.microsoft.com/office/drawing/2014/main" id="{14C880DB-C962-4767-820C-5FF9C11AF203}"/>
                </a:ext>
                <a:ext uri="{147F2762-F138-4A5C-976F-8EAC2B608ADB}">
                  <a16:predDERef xmlns:a16="http://schemas.microsoft.com/office/drawing/2014/main" pred="{730CFDC4-2D74-4EF0-AB1B-7FB971B59160}"/>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Quarter 3"/>
            </a:graphicData>
          </a:graphic>
        </xdr:graphicFrame>
      </mc:Choice>
      <mc:Fallback xmlns="">
        <xdr:sp macro="" textlink="">
          <xdr:nvSpPr>
            <xdr:cNvPr id="0" name=""/>
            <xdr:cNvSpPr>
              <a:spLocks noTextEdit="1"/>
            </xdr:cNvSpPr>
          </xdr:nvSpPr>
          <xdr:spPr>
            <a:xfrm>
              <a:off x="19050" y="1341120"/>
              <a:ext cx="1495425" cy="14020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xdr:colOff>
      <xdr:row>0</xdr:row>
      <xdr:rowOff>0</xdr:rowOff>
    </xdr:from>
    <xdr:to>
      <xdr:col>2</xdr:col>
      <xdr:colOff>295275</xdr:colOff>
      <xdr:row>7</xdr:row>
      <xdr:rowOff>60960</xdr:rowOff>
    </xdr:to>
    <mc:AlternateContent xmlns:mc="http://schemas.openxmlformats.org/markup-compatibility/2006" xmlns:a14="http://schemas.microsoft.com/office/drawing/2010/main">
      <mc:Choice Requires="a14">
        <xdr:graphicFrame macro="">
          <xdr:nvGraphicFramePr>
            <xdr:cNvPr id="42" name="Product 2">
              <a:extLst>
                <a:ext uri="{FF2B5EF4-FFF2-40B4-BE49-F238E27FC236}">
                  <a16:creationId xmlns:a16="http://schemas.microsoft.com/office/drawing/2014/main" id="{318CFA84-416A-48D2-9F54-205EEE25DF45}"/>
                </a:ext>
                <a:ext uri="{147F2762-F138-4A5C-976F-8EAC2B608ADB}">
                  <a16:predDERef xmlns:a16="http://schemas.microsoft.com/office/drawing/2014/main" pred="{14C880DB-C962-4767-820C-5FF9C11AF203}"/>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mlns="">
        <xdr:sp macro="" textlink="">
          <xdr:nvSpPr>
            <xdr:cNvPr id="0" name=""/>
            <xdr:cNvSpPr>
              <a:spLocks noTextEdit="1"/>
            </xdr:cNvSpPr>
          </xdr:nvSpPr>
          <xdr:spPr>
            <a:xfrm>
              <a:off x="2583180" y="746760"/>
              <a:ext cx="1495425" cy="13049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xdr:colOff>
      <xdr:row>22</xdr:row>
      <xdr:rowOff>85725</xdr:rowOff>
    </xdr:from>
    <xdr:to>
      <xdr:col>2</xdr:col>
      <xdr:colOff>295275</xdr:colOff>
      <xdr:row>29</xdr:row>
      <xdr:rowOff>175260</xdr:rowOff>
    </xdr:to>
    <mc:AlternateContent xmlns:mc="http://schemas.openxmlformats.org/markup-compatibility/2006" xmlns:a14="http://schemas.microsoft.com/office/drawing/2010/main">
      <mc:Choice Requires="a14">
        <xdr:graphicFrame macro="">
          <xdr:nvGraphicFramePr>
            <xdr:cNvPr id="69" name="Region 2">
              <a:extLst>
                <a:ext uri="{FF2B5EF4-FFF2-40B4-BE49-F238E27FC236}">
                  <a16:creationId xmlns:a16="http://schemas.microsoft.com/office/drawing/2014/main" id="{D22961A7-2108-43EB-8AF5-4715A3D4E0E5}"/>
                </a:ext>
                <a:ext uri="{147F2762-F138-4A5C-976F-8EAC2B608ADB}">
                  <a16:predDERef xmlns:a16="http://schemas.microsoft.com/office/drawing/2014/main" pred="{318CFA84-416A-48D2-9F54-205EEE25DF45}"/>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5486400" y="731520"/>
              <a:ext cx="1407795" cy="1209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466725</xdr:colOff>
      <xdr:row>0</xdr:row>
      <xdr:rowOff>9525</xdr:rowOff>
    </xdr:from>
    <xdr:to>
      <xdr:col>19</xdr:col>
      <xdr:colOff>142875</xdr:colOff>
      <xdr:row>4</xdr:row>
      <xdr:rowOff>123825</xdr:rowOff>
    </xdr:to>
    <xdr:sp macro="" textlink="">
      <xdr:nvSpPr>
        <xdr:cNvPr id="7" name="TextBox 5">
          <a:extLst>
            <a:ext uri="{FF2B5EF4-FFF2-40B4-BE49-F238E27FC236}">
              <a16:creationId xmlns:a16="http://schemas.microsoft.com/office/drawing/2014/main" id="{79506759-126A-41E4-A9CE-333346359187}"/>
            </a:ext>
            <a:ext uri="{147F2762-F138-4A5C-976F-8EAC2B608ADB}">
              <a16:predDERef xmlns:a16="http://schemas.microsoft.com/office/drawing/2014/main" pred="{D22961A7-2108-43EB-8AF5-4715A3D4E0E5}"/>
            </a:ext>
          </a:extLst>
        </xdr:cNvPr>
        <xdr:cNvSpPr txBox="1"/>
      </xdr:nvSpPr>
      <xdr:spPr>
        <a:xfrm>
          <a:off x="3514725" y="9525"/>
          <a:ext cx="8210550" cy="838200"/>
        </a:xfrm>
        <a:prstGeom prst="rect">
          <a:avLst/>
        </a:prstGeom>
        <a:solidFill>
          <a:schemeClr val="lt1"/>
        </a:solidFill>
        <a:ln w="9525" cmpd="sng">
          <a:solidFill>
            <a:schemeClr val="bg1"/>
          </a:solidFill>
        </a:ln>
      </xdr:spPr>
      <xdr:txBody>
        <a:bodyPr spcFirstLastPara="0" wrap="square" lIns="91440" tIns="45720" rIns="91440" bIns="45720" rtlCol="0" anchor="t">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r>
            <a:rPr lang="en-US" sz="2400" b="1">
              <a:latin typeface="+mn-lt"/>
              <a:ea typeface="+mn-lt"/>
              <a:cs typeface="+mn-lt"/>
            </a:rPr>
            <a:t>PRODUCT PERFORMANCE ANALYSIS</a:t>
          </a:r>
        </a:p>
        <a:p>
          <a:pPr marL="0" indent="0" algn="ctr"/>
          <a:r>
            <a:rPr lang="en-US" sz="2000" b="1" baseline="0">
              <a:latin typeface="+mn-lt"/>
              <a:ea typeface="+mn-lt"/>
              <a:cs typeface="+mn-lt"/>
            </a:rPr>
            <a:t>Which Products Benefited Most from Spend? </a:t>
          </a:r>
          <a:endParaRPr lang="en-US" sz="2000" b="1">
            <a:latin typeface="+mn-lt"/>
            <a:ea typeface="+mn-lt"/>
            <a:cs typeface="+mn-lt"/>
          </a:endParaRPr>
        </a:p>
      </xdr:txBody>
    </xdr:sp>
    <xdr:clientData/>
  </xdr:twoCellAnchor>
  <xdr:twoCellAnchor>
    <xdr:from>
      <xdr:col>4</xdr:col>
      <xdr:colOff>36195</xdr:colOff>
      <xdr:row>4</xdr:row>
      <xdr:rowOff>139065</xdr:rowOff>
    </xdr:from>
    <xdr:to>
      <xdr:col>20</xdr:col>
      <xdr:colOff>462915</xdr:colOff>
      <xdr:row>4</xdr:row>
      <xdr:rowOff>148590</xdr:rowOff>
    </xdr:to>
    <xdr:cxnSp macro="">
      <xdr:nvCxnSpPr>
        <xdr:cNvPr id="90" name="Straight Connector 35">
          <a:extLst>
            <a:ext uri="{FF2B5EF4-FFF2-40B4-BE49-F238E27FC236}">
              <a16:creationId xmlns:a16="http://schemas.microsoft.com/office/drawing/2014/main" id="{57CA9AFB-032E-4085-AABC-031BBF5E1107}"/>
            </a:ext>
            <a:ext uri="{147F2762-F138-4A5C-976F-8EAC2B608ADB}">
              <a16:predDERef xmlns:a16="http://schemas.microsoft.com/office/drawing/2014/main" pred="{79506759-126A-41E4-A9CE-333346359187}"/>
            </a:ext>
          </a:extLst>
        </xdr:cNvPr>
        <xdr:cNvCxnSpPr>
          <a:cxnSpLocks/>
        </xdr:cNvCxnSpPr>
      </xdr:nvCxnSpPr>
      <xdr:spPr>
        <a:xfrm flipV="1">
          <a:off x="2474595" y="870585"/>
          <a:ext cx="10180320" cy="9525"/>
        </a:xfrm>
        <a:prstGeom prst="line">
          <a:avLst/>
        </a:prstGeom>
        <a:ln>
          <a:solidFill>
            <a:schemeClr val="tx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476250</xdr:colOff>
      <xdr:row>6</xdr:row>
      <xdr:rowOff>72390</xdr:rowOff>
    </xdr:from>
    <xdr:to>
      <xdr:col>16</xdr:col>
      <xdr:colOff>57150</xdr:colOff>
      <xdr:row>10</xdr:row>
      <xdr:rowOff>34290</xdr:rowOff>
    </xdr:to>
    <xdr:sp macro="" textlink="">
      <xdr:nvSpPr>
        <xdr:cNvPr id="3" name="Rectangle 51">
          <a:extLst>
            <a:ext uri="{FF2B5EF4-FFF2-40B4-BE49-F238E27FC236}">
              <a16:creationId xmlns:a16="http://schemas.microsoft.com/office/drawing/2014/main" id="{85430E32-2D96-471E-AD7F-B0B418F6D3A1}"/>
            </a:ext>
            <a:ext uri="{147F2762-F138-4A5C-976F-8EAC2B608ADB}">
              <a16:predDERef xmlns:a16="http://schemas.microsoft.com/office/drawing/2014/main" pred="{57CA9AFB-032E-4085-AABC-031BBF5E1107}"/>
            </a:ext>
          </a:extLst>
        </xdr:cNvPr>
        <xdr:cNvSpPr/>
      </xdr:nvSpPr>
      <xdr:spPr>
        <a:xfrm>
          <a:off x="7791450" y="1169670"/>
          <a:ext cx="2019300" cy="69342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b"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600" b="1">
              <a:solidFill>
                <a:schemeClr val="accent6"/>
              </a:solidFill>
              <a:latin typeface="+mn-lt"/>
              <a:ea typeface="+mn-ea"/>
              <a:cs typeface="+mn-cs"/>
            </a:rPr>
            <a:t>ROI</a:t>
          </a:r>
        </a:p>
      </xdr:txBody>
    </xdr:sp>
    <xdr:clientData/>
  </xdr:twoCellAnchor>
  <xdr:twoCellAnchor>
    <xdr:from>
      <xdr:col>9</xdr:col>
      <xdr:colOff>257175</xdr:colOff>
      <xdr:row>6</xdr:row>
      <xdr:rowOff>66675</xdr:rowOff>
    </xdr:from>
    <xdr:to>
      <xdr:col>12</xdr:col>
      <xdr:colOff>447675</xdr:colOff>
      <xdr:row>10</xdr:row>
      <xdr:rowOff>28575</xdr:rowOff>
    </xdr:to>
    <xdr:sp macro="" textlink="">
      <xdr:nvSpPr>
        <xdr:cNvPr id="206" name="Rectangle 52">
          <a:extLst>
            <a:ext uri="{FF2B5EF4-FFF2-40B4-BE49-F238E27FC236}">
              <a16:creationId xmlns:a16="http://schemas.microsoft.com/office/drawing/2014/main" id="{DA75A7FE-0642-4B7B-8338-04AEE3E33678}"/>
            </a:ext>
            <a:ext uri="{147F2762-F138-4A5C-976F-8EAC2B608ADB}">
              <a16:predDERef xmlns:a16="http://schemas.microsoft.com/office/drawing/2014/main" pred="{85430E32-2D96-471E-AD7F-B0B418F6D3A1}"/>
            </a:ext>
          </a:extLst>
        </xdr:cNvPr>
        <xdr:cNvSpPr/>
      </xdr:nvSpPr>
      <xdr:spPr>
        <a:xfrm>
          <a:off x="5743575" y="1152525"/>
          <a:ext cx="2019300" cy="6858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b"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400" b="1">
              <a:solidFill>
                <a:sysClr val="windowText" lastClr="000000"/>
              </a:solidFill>
              <a:latin typeface="+mn-lt"/>
              <a:ea typeface="+mn-ea"/>
              <a:cs typeface="+mn-cs"/>
            </a:rPr>
            <a:t>Conversion Rate %</a:t>
          </a:r>
        </a:p>
      </xdr:txBody>
    </xdr:sp>
    <xdr:clientData/>
  </xdr:twoCellAnchor>
  <xdr:twoCellAnchor>
    <xdr:from>
      <xdr:col>6</xdr:col>
      <xdr:colOff>38100</xdr:colOff>
      <xdr:row>6</xdr:row>
      <xdr:rowOff>95250</xdr:rowOff>
    </xdr:from>
    <xdr:to>
      <xdr:col>9</xdr:col>
      <xdr:colOff>228600</xdr:colOff>
      <xdr:row>10</xdr:row>
      <xdr:rowOff>57150</xdr:rowOff>
    </xdr:to>
    <xdr:sp macro="" textlink="">
      <xdr:nvSpPr>
        <xdr:cNvPr id="30" name="Rectangle 53">
          <a:extLst>
            <a:ext uri="{FF2B5EF4-FFF2-40B4-BE49-F238E27FC236}">
              <a16:creationId xmlns:a16="http://schemas.microsoft.com/office/drawing/2014/main" id="{D8C02F87-35E2-4F1F-8B42-D5A033308735}"/>
            </a:ext>
            <a:ext uri="{147F2762-F138-4A5C-976F-8EAC2B608ADB}">
              <a16:predDERef xmlns:a16="http://schemas.microsoft.com/office/drawing/2014/main" pred="{DA75A7FE-0642-4B7B-8338-04AEE3E33678}"/>
            </a:ext>
          </a:extLst>
        </xdr:cNvPr>
        <xdr:cNvSpPr/>
      </xdr:nvSpPr>
      <xdr:spPr>
        <a:xfrm>
          <a:off x="3695700" y="1181100"/>
          <a:ext cx="2019300" cy="6858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b"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400" b="1">
              <a:solidFill>
                <a:sysClr val="windowText" lastClr="000000"/>
              </a:solidFill>
              <a:latin typeface="+mn-lt"/>
              <a:ea typeface="+mn-ea"/>
              <a:cs typeface="+mn-cs"/>
            </a:rPr>
            <a:t>Revenue</a:t>
          </a:r>
        </a:p>
      </xdr:txBody>
    </xdr:sp>
    <xdr:clientData/>
  </xdr:twoCellAnchor>
  <xdr:twoCellAnchor>
    <xdr:from>
      <xdr:col>2</xdr:col>
      <xdr:colOff>321945</xdr:colOff>
      <xdr:row>6</xdr:row>
      <xdr:rowOff>95250</xdr:rowOff>
    </xdr:from>
    <xdr:to>
      <xdr:col>5</xdr:col>
      <xdr:colOff>512445</xdr:colOff>
      <xdr:row>10</xdr:row>
      <xdr:rowOff>57150</xdr:rowOff>
    </xdr:to>
    <xdr:sp macro="" textlink="">
      <xdr:nvSpPr>
        <xdr:cNvPr id="36" name="Rectangle 54">
          <a:extLst>
            <a:ext uri="{FF2B5EF4-FFF2-40B4-BE49-F238E27FC236}">
              <a16:creationId xmlns:a16="http://schemas.microsoft.com/office/drawing/2014/main" id="{90889D91-3D78-41D2-98C3-5B3C8F90DF28}"/>
            </a:ext>
            <a:ext uri="{147F2762-F138-4A5C-976F-8EAC2B608ADB}">
              <a16:predDERef xmlns:a16="http://schemas.microsoft.com/office/drawing/2014/main" pred="{D8C02F87-35E2-4F1F-8B42-D5A033308735}"/>
            </a:ext>
          </a:extLst>
        </xdr:cNvPr>
        <xdr:cNvSpPr/>
      </xdr:nvSpPr>
      <xdr:spPr>
        <a:xfrm>
          <a:off x="1541145" y="1192530"/>
          <a:ext cx="2019300" cy="69342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b"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r>
            <a:rPr lang="en-US" sz="1400" b="1">
              <a:solidFill>
                <a:sysClr val="windowText" lastClr="000000"/>
              </a:solidFill>
            </a:rPr>
            <a:t>Product Spend</a:t>
          </a:r>
        </a:p>
      </xdr:txBody>
    </xdr:sp>
    <xdr:clientData/>
  </xdr:twoCellAnchor>
  <xdr:twoCellAnchor>
    <xdr:from>
      <xdr:col>2</xdr:col>
      <xdr:colOff>571500</xdr:colOff>
      <xdr:row>6</xdr:row>
      <xdr:rowOff>139065</xdr:rowOff>
    </xdr:from>
    <xdr:to>
      <xdr:col>5</xdr:col>
      <xdr:colOff>259080</xdr:colOff>
      <xdr:row>8</xdr:row>
      <xdr:rowOff>120015</xdr:rowOff>
    </xdr:to>
    <xdr:sp macro="" textlink="'Pivots &amp; KPIs'!$A$4">
      <xdr:nvSpPr>
        <xdr:cNvPr id="37" name="TextBox 56">
          <a:extLst>
            <a:ext uri="{FF2B5EF4-FFF2-40B4-BE49-F238E27FC236}">
              <a16:creationId xmlns:a16="http://schemas.microsoft.com/office/drawing/2014/main" id="{A44F99E5-CACA-4041-89FB-A7C0479A921E}"/>
            </a:ext>
            <a:ext uri="{147F2762-F138-4A5C-976F-8EAC2B608ADB}">
              <a16:predDERef xmlns:a16="http://schemas.microsoft.com/office/drawing/2014/main" pred="{90889D91-3D78-41D2-98C3-5B3C8F90DF28}"/>
            </a:ext>
          </a:extLst>
        </xdr:cNvPr>
        <xdr:cNvSpPr txBox="1"/>
      </xdr:nvSpPr>
      <xdr:spPr>
        <a:xfrm>
          <a:off x="1790700" y="1236345"/>
          <a:ext cx="1516380" cy="346710"/>
        </a:xfrm>
        <a:prstGeom prst="rect">
          <a:avLst/>
        </a:prstGeom>
        <a:solidFill>
          <a:schemeClr val="bg1"/>
        </a:solidFill>
        <a:ln w="9525" cmpd="sng">
          <a:solidFill>
            <a:schemeClr val="bg1"/>
          </a:solidFill>
        </a:ln>
      </xdr:spPr>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fld id="{C9F56BE4-D70B-486A-80CE-846DF1033E75}" type="TxLink">
            <a:rPr lang="en-US" sz="2400" b="1" i="0" u="none" strike="noStrike">
              <a:solidFill>
                <a:srgbClr val="000000"/>
              </a:solidFill>
              <a:latin typeface="Aptos Narrow"/>
              <a:ea typeface="+mn-ea"/>
              <a:cs typeface="+mn-cs"/>
            </a:rPr>
            <a:pPr marL="0" indent="0" algn="ctr"/>
            <a:t> $2,61,166 </a:t>
          </a:fld>
          <a:endParaRPr lang="en-US" sz="2400" b="1" i="0" u="none" strike="noStrike">
            <a:solidFill>
              <a:srgbClr val="000000"/>
            </a:solidFill>
            <a:latin typeface="Aptos Narrow"/>
            <a:ea typeface="+mn-ea"/>
            <a:cs typeface="+mn-cs"/>
          </a:endParaRPr>
        </a:p>
      </xdr:txBody>
    </xdr:sp>
    <xdr:clientData/>
  </xdr:twoCellAnchor>
  <xdr:twoCellAnchor>
    <xdr:from>
      <xdr:col>6</xdr:col>
      <xdr:colOff>196215</xdr:colOff>
      <xdr:row>6</xdr:row>
      <xdr:rowOff>131445</xdr:rowOff>
    </xdr:from>
    <xdr:to>
      <xdr:col>9</xdr:col>
      <xdr:colOff>60960</xdr:colOff>
      <xdr:row>8</xdr:row>
      <xdr:rowOff>112395</xdr:rowOff>
    </xdr:to>
    <xdr:sp macro="" textlink="'Pivots &amp; KPIs'!$C$4">
      <xdr:nvSpPr>
        <xdr:cNvPr id="13" name="TextBox 57">
          <a:extLst>
            <a:ext uri="{FF2B5EF4-FFF2-40B4-BE49-F238E27FC236}">
              <a16:creationId xmlns:a16="http://schemas.microsoft.com/office/drawing/2014/main" id="{87810A5F-C011-47D1-A094-C1293172312C}"/>
            </a:ext>
            <a:ext uri="{147F2762-F138-4A5C-976F-8EAC2B608ADB}">
              <a16:predDERef xmlns:a16="http://schemas.microsoft.com/office/drawing/2014/main" pred="{A44F99E5-CACA-4041-89FB-A7C0479A921E}"/>
            </a:ext>
          </a:extLst>
        </xdr:cNvPr>
        <xdr:cNvSpPr txBox="1"/>
      </xdr:nvSpPr>
      <xdr:spPr>
        <a:xfrm>
          <a:off x="3853815" y="1228725"/>
          <a:ext cx="1693545" cy="346710"/>
        </a:xfrm>
        <a:prstGeom prst="rect">
          <a:avLst/>
        </a:prstGeom>
        <a:solidFill>
          <a:schemeClr val="bg1"/>
        </a:solidFill>
        <a:ln w="9525" cmpd="sng">
          <a:solidFill>
            <a:schemeClr val="bg1"/>
          </a:solidFill>
        </a:ln>
      </xdr:spPr>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fld id="{C3EE34B0-CE18-4EE4-B125-8A3A377BB149}" type="TxLink">
            <a:rPr lang="en-US" sz="2400" b="1" i="0" u="none" strike="noStrike">
              <a:solidFill>
                <a:srgbClr val="000000"/>
              </a:solidFill>
              <a:latin typeface="Aptos Narrow"/>
              <a:ea typeface="+mn-ea"/>
              <a:cs typeface="+mn-cs"/>
            </a:rPr>
            <a:pPr marL="0" indent="0" algn="ctr"/>
            <a:t> $10,42,480 </a:t>
          </a:fld>
          <a:endParaRPr lang="en-US" sz="2400" b="1" i="0" u="none" strike="noStrike">
            <a:solidFill>
              <a:srgbClr val="000000"/>
            </a:solidFill>
            <a:latin typeface="Aptos Narrow"/>
            <a:ea typeface="+mn-ea"/>
            <a:cs typeface="+mn-cs"/>
          </a:endParaRPr>
        </a:p>
      </xdr:txBody>
    </xdr:sp>
    <xdr:clientData/>
  </xdr:twoCellAnchor>
  <xdr:twoCellAnchor>
    <xdr:from>
      <xdr:col>13</xdr:col>
      <xdr:colOff>327660</xdr:colOff>
      <xdr:row>6</xdr:row>
      <xdr:rowOff>99060</xdr:rowOff>
    </xdr:from>
    <xdr:to>
      <xdr:col>15</xdr:col>
      <xdr:colOff>318135</xdr:colOff>
      <xdr:row>8</xdr:row>
      <xdr:rowOff>80010</xdr:rowOff>
    </xdr:to>
    <xdr:sp macro="" textlink="'Pivots &amp; KPIs'!$E$3">
      <xdr:nvSpPr>
        <xdr:cNvPr id="8" name="TextBox 58">
          <a:extLst>
            <a:ext uri="{FF2B5EF4-FFF2-40B4-BE49-F238E27FC236}">
              <a16:creationId xmlns:a16="http://schemas.microsoft.com/office/drawing/2014/main" id="{18C497FA-596A-498D-9C4A-B6EE594DEC3F}"/>
            </a:ext>
            <a:ext uri="{147F2762-F138-4A5C-976F-8EAC2B608ADB}">
              <a16:predDERef xmlns:a16="http://schemas.microsoft.com/office/drawing/2014/main" pred="{87810A5F-C011-47D1-A094-C1293172312C}"/>
            </a:ext>
          </a:extLst>
        </xdr:cNvPr>
        <xdr:cNvSpPr txBox="1"/>
      </xdr:nvSpPr>
      <xdr:spPr>
        <a:xfrm>
          <a:off x="8252460" y="1196340"/>
          <a:ext cx="1209675" cy="346710"/>
        </a:xfrm>
        <a:prstGeom prst="rect">
          <a:avLst/>
        </a:prstGeom>
        <a:solidFill>
          <a:schemeClr val="bg1"/>
        </a:solidFill>
        <a:ln w="9525" cmpd="sng">
          <a:solidFill>
            <a:schemeClr val="bg1"/>
          </a:solidFill>
        </a:ln>
      </xdr:spPr>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fld id="{DCE78713-1E2D-4227-8E61-47DDD225035D}" type="TxLink">
            <a:rPr lang="en-US" sz="2400" b="1" i="0" u="none" strike="noStrike">
              <a:solidFill>
                <a:schemeClr val="accent6"/>
              </a:solidFill>
              <a:latin typeface="Aptos Narrow"/>
              <a:ea typeface="+mn-ea"/>
              <a:cs typeface="+mn-cs"/>
            </a:rPr>
            <a:pPr marL="0" indent="0" algn="ctr"/>
            <a:t>299%</a:t>
          </a:fld>
          <a:endParaRPr lang="en-US" sz="2400" b="1" i="0" u="none" strike="noStrike">
            <a:solidFill>
              <a:schemeClr val="accent6"/>
            </a:solidFill>
            <a:latin typeface="Aptos Narrow"/>
            <a:ea typeface="+mn-ea"/>
            <a:cs typeface="+mn-cs"/>
          </a:endParaRPr>
        </a:p>
      </xdr:txBody>
    </xdr:sp>
    <xdr:clientData/>
  </xdr:twoCellAnchor>
  <xdr:twoCellAnchor>
    <xdr:from>
      <xdr:col>10</xdr:col>
      <xdr:colOff>41910</xdr:colOff>
      <xdr:row>6</xdr:row>
      <xdr:rowOff>91440</xdr:rowOff>
    </xdr:from>
    <xdr:to>
      <xdr:col>12</xdr:col>
      <xdr:colOff>32385</xdr:colOff>
      <xdr:row>8</xdr:row>
      <xdr:rowOff>72390</xdr:rowOff>
    </xdr:to>
    <xdr:sp macro="" textlink="'Pivots &amp; KPIs'!$J$3">
      <xdr:nvSpPr>
        <xdr:cNvPr id="209" name="TextBox 59">
          <a:extLst>
            <a:ext uri="{FF2B5EF4-FFF2-40B4-BE49-F238E27FC236}">
              <a16:creationId xmlns:a16="http://schemas.microsoft.com/office/drawing/2014/main" id="{5C59D9FE-3BA4-476C-BDA9-6251BDD776C5}"/>
            </a:ext>
            <a:ext uri="{147F2762-F138-4A5C-976F-8EAC2B608ADB}">
              <a16:predDERef xmlns:a16="http://schemas.microsoft.com/office/drawing/2014/main" pred="{18C497FA-596A-498D-9C4A-B6EE594DEC3F}"/>
            </a:ext>
          </a:extLst>
        </xdr:cNvPr>
        <xdr:cNvSpPr txBox="1"/>
      </xdr:nvSpPr>
      <xdr:spPr>
        <a:xfrm>
          <a:off x="6137910" y="1177290"/>
          <a:ext cx="1209675" cy="342900"/>
        </a:xfrm>
        <a:prstGeom prst="rect">
          <a:avLst/>
        </a:prstGeom>
        <a:solidFill>
          <a:schemeClr val="bg1"/>
        </a:solidFill>
        <a:ln w="9525" cmpd="sng">
          <a:solidFill>
            <a:schemeClr val="bg1"/>
          </a:solidFill>
        </a:ln>
      </xdr:spPr>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fld id="{947AB38D-2D62-494F-86F1-DA562A315D56}" type="TxLink">
            <a:rPr lang="en-US" sz="2400" b="1" i="0" u="none" strike="noStrike">
              <a:solidFill>
                <a:srgbClr val="000000"/>
              </a:solidFill>
              <a:latin typeface="Aptos Narrow"/>
              <a:ea typeface="+mn-ea"/>
              <a:cs typeface="+mn-cs"/>
            </a:rPr>
            <a:pPr marL="0" indent="0" algn="ctr"/>
            <a:t>5%</a:t>
          </a:fld>
          <a:endParaRPr lang="en-US" sz="2400" b="1" i="0" u="none" strike="noStrike">
            <a:solidFill>
              <a:srgbClr val="000000"/>
            </a:solidFill>
            <a:latin typeface="Aptos Narrow"/>
            <a:ea typeface="+mn-ea"/>
            <a:cs typeface="+mn-cs"/>
          </a:endParaRPr>
        </a:p>
      </xdr:txBody>
    </xdr:sp>
    <xdr:clientData/>
  </xdr:twoCellAnchor>
  <xdr:twoCellAnchor>
    <xdr:from>
      <xdr:col>2</xdr:col>
      <xdr:colOff>314325</xdr:colOff>
      <xdr:row>12</xdr:row>
      <xdr:rowOff>95250</xdr:rowOff>
    </xdr:from>
    <xdr:to>
      <xdr:col>9</xdr:col>
      <xdr:colOff>200025</xdr:colOff>
      <xdr:row>29</xdr:row>
      <xdr:rowOff>114300</xdr:rowOff>
    </xdr:to>
    <xdr:graphicFrame macro="">
      <xdr:nvGraphicFramePr>
        <xdr:cNvPr id="33" name="Chart 1">
          <a:extLst>
            <a:ext uri="{FF2B5EF4-FFF2-40B4-BE49-F238E27FC236}">
              <a16:creationId xmlns:a16="http://schemas.microsoft.com/office/drawing/2014/main" id="{799744B0-04B3-4C92-B83E-8CC38808DC94}"/>
            </a:ext>
            <a:ext uri="{147F2762-F138-4A5C-976F-8EAC2B608ADB}">
              <a16:predDERef xmlns:a16="http://schemas.microsoft.com/office/drawing/2014/main" pred="{5C59D9FE-3BA4-476C-BDA9-6251BDD776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219075</xdr:colOff>
      <xdr:row>12</xdr:row>
      <xdr:rowOff>95250</xdr:rowOff>
    </xdr:from>
    <xdr:to>
      <xdr:col>16</xdr:col>
      <xdr:colOff>247650</xdr:colOff>
      <xdr:row>29</xdr:row>
      <xdr:rowOff>114300</xdr:rowOff>
    </xdr:to>
    <xdr:graphicFrame macro="">
      <xdr:nvGraphicFramePr>
        <xdr:cNvPr id="22" name="Chart 2">
          <a:extLst>
            <a:ext uri="{FF2B5EF4-FFF2-40B4-BE49-F238E27FC236}">
              <a16:creationId xmlns:a16="http://schemas.microsoft.com/office/drawing/2014/main" id="{13A8E5BC-4561-4BD0-9D0F-EAF00135853B}"/>
            </a:ext>
            <a:ext uri="{147F2762-F138-4A5C-976F-8EAC2B608ADB}">
              <a16:predDERef xmlns:a16="http://schemas.microsoft.com/office/drawing/2014/main" pred="{799744B0-04B3-4C92-B83E-8CC38808DC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276225</xdr:colOff>
      <xdr:row>4</xdr:row>
      <xdr:rowOff>171450</xdr:rowOff>
    </xdr:from>
    <xdr:to>
      <xdr:col>22</xdr:col>
      <xdr:colOff>590550</xdr:colOff>
      <xdr:row>17</xdr:row>
      <xdr:rowOff>57150</xdr:rowOff>
    </xdr:to>
    <xdr:graphicFrame macro="">
      <xdr:nvGraphicFramePr>
        <xdr:cNvPr id="40" name="Chart 10">
          <a:extLst>
            <a:ext uri="{FF2B5EF4-FFF2-40B4-BE49-F238E27FC236}">
              <a16:creationId xmlns:a16="http://schemas.microsoft.com/office/drawing/2014/main" id="{A90E6DFE-CB30-4EDC-BBB8-59FA90682B05}"/>
            </a:ext>
            <a:ext uri="{147F2762-F138-4A5C-976F-8EAC2B608ADB}">
              <a16:predDERef xmlns:a16="http://schemas.microsoft.com/office/drawing/2014/main" pred="{13A8E5BC-4561-4BD0-9D0F-EAF0013585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285750</xdr:colOff>
      <xdr:row>17</xdr:row>
      <xdr:rowOff>85725</xdr:rowOff>
    </xdr:from>
    <xdr:to>
      <xdr:col>22</xdr:col>
      <xdr:colOff>590550</xdr:colOff>
      <xdr:row>29</xdr:row>
      <xdr:rowOff>123825</xdr:rowOff>
    </xdr:to>
    <xdr:graphicFrame macro="">
      <xdr:nvGraphicFramePr>
        <xdr:cNvPr id="38" name="Chart 11">
          <a:extLst>
            <a:ext uri="{FF2B5EF4-FFF2-40B4-BE49-F238E27FC236}">
              <a16:creationId xmlns:a16="http://schemas.microsoft.com/office/drawing/2014/main" id="{EA9BE246-86E6-4AAC-B43F-8B138C7588E7}"/>
            </a:ext>
            <a:ext uri="{147F2762-F138-4A5C-976F-8EAC2B608ADB}">
              <a16:predDERef xmlns:a16="http://schemas.microsoft.com/office/drawing/2014/main" pred="{A90E6DFE-CB30-4EDC-BBB8-59FA90682B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19050</xdr:colOff>
      <xdr:row>0</xdr:row>
      <xdr:rowOff>0</xdr:rowOff>
    </xdr:from>
    <xdr:to>
      <xdr:col>2</xdr:col>
      <xdr:colOff>295275</xdr:colOff>
      <xdr:row>7</xdr:row>
      <xdr:rowOff>148590</xdr:rowOff>
    </xdr:to>
    <mc:AlternateContent xmlns:mc="http://schemas.openxmlformats.org/markup-compatibility/2006" xmlns:a14="http://schemas.microsoft.com/office/drawing/2010/main">
      <mc:Choice Requires="a14">
        <xdr:graphicFrame macro="">
          <xdr:nvGraphicFramePr>
            <xdr:cNvPr id="477" name="Channel 4">
              <a:extLst>
                <a:ext uri="{FF2B5EF4-FFF2-40B4-BE49-F238E27FC236}">
                  <a16:creationId xmlns:a16="http://schemas.microsoft.com/office/drawing/2014/main" id="{E29CBDFB-83BC-489B-AAFE-D9AAE6F6061B}"/>
                </a:ext>
                <a:ext uri="{147F2762-F138-4A5C-976F-8EAC2B608ADB}">
                  <a16:predDERef xmlns:a16="http://schemas.microsoft.com/office/drawing/2014/main" pred="{C9B093CD-5ED7-B0FF-FA19-4FF1F041A7E5}"/>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Channel 4"/>
            </a:graphicData>
          </a:graphic>
        </xdr:graphicFrame>
      </mc:Choice>
      <mc:Fallback xmlns="">
        <xdr:sp macro="" textlink="">
          <xdr:nvSpPr>
            <xdr:cNvPr id="0" name=""/>
            <xdr:cNvSpPr>
              <a:spLocks noTextEdit="1"/>
            </xdr:cNvSpPr>
          </xdr:nvSpPr>
          <xdr:spPr>
            <a:xfrm>
              <a:off x="0" y="3787140"/>
              <a:ext cx="1449705" cy="1348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xdr:colOff>
      <xdr:row>15</xdr:row>
      <xdr:rowOff>57150</xdr:rowOff>
    </xdr:from>
    <xdr:to>
      <xdr:col>2</xdr:col>
      <xdr:colOff>295275</xdr:colOff>
      <xdr:row>23</xdr:row>
      <xdr:rowOff>3810</xdr:rowOff>
    </xdr:to>
    <mc:AlternateContent xmlns:mc="http://schemas.openxmlformats.org/markup-compatibility/2006" xmlns:a14="http://schemas.microsoft.com/office/drawing/2010/main">
      <mc:Choice Requires="a14">
        <xdr:graphicFrame macro="">
          <xdr:nvGraphicFramePr>
            <xdr:cNvPr id="80" name="Quarter 4">
              <a:extLst>
                <a:ext uri="{FF2B5EF4-FFF2-40B4-BE49-F238E27FC236}">
                  <a16:creationId xmlns:a16="http://schemas.microsoft.com/office/drawing/2014/main" id="{6250F8DD-EA7E-495F-AEDA-24D0FCF16749}"/>
                </a:ext>
                <a:ext uri="{147F2762-F138-4A5C-976F-8EAC2B608ADB}">
                  <a16:predDERef xmlns:a16="http://schemas.microsoft.com/office/drawing/2014/main" pred="{E29CBDFB-83BC-489B-AAFE-D9AAE6F6061B}"/>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Quarter 4"/>
            </a:graphicData>
          </a:graphic>
        </xdr:graphicFrame>
      </mc:Choice>
      <mc:Fallback xmlns="">
        <xdr:sp macro="" textlink="">
          <xdr:nvSpPr>
            <xdr:cNvPr id="0" name=""/>
            <xdr:cNvSpPr>
              <a:spLocks noTextEdit="1"/>
            </xdr:cNvSpPr>
          </xdr:nvSpPr>
          <xdr:spPr>
            <a:xfrm>
              <a:off x="15240" y="2598420"/>
              <a:ext cx="1421130" cy="1409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xdr:colOff>
      <xdr:row>7</xdr:row>
      <xdr:rowOff>78105</xdr:rowOff>
    </xdr:from>
    <xdr:to>
      <xdr:col>2</xdr:col>
      <xdr:colOff>291465</xdr:colOff>
      <xdr:row>15</xdr:row>
      <xdr:rowOff>40005</xdr:rowOff>
    </xdr:to>
    <mc:AlternateContent xmlns:mc="http://schemas.openxmlformats.org/markup-compatibility/2006" xmlns:a14="http://schemas.microsoft.com/office/drawing/2010/main">
      <mc:Choice Requires="a14">
        <xdr:graphicFrame macro="">
          <xdr:nvGraphicFramePr>
            <xdr:cNvPr id="79" name="Product 3">
              <a:extLst>
                <a:ext uri="{FF2B5EF4-FFF2-40B4-BE49-F238E27FC236}">
                  <a16:creationId xmlns:a16="http://schemas.microsoft.com/office/drawing/2014/main" id="{FCE134F8-5D20-47F0-A01C-6375C96D08B7}"/>
                </a:ext>
                <a:ext uri="{147F2762-F138-4A5C-976F-8EAC2B608ADB}">
                  <a16:predDERef xmlns:a16="http://schemas.microsoft.com/office/drawing/2014/main" pred="{6250F8DD-EA7E-495F-AEDA-24D0FCF16749}"/>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Product 3"/>
            </a:graphicData>
          </a:graphic>
        </xdr:graphicFrame>
      </mc:Choice>
      <mc:Fallback xmlns="">
        <xdr:sp macro="" textlink="">
          <xdr:nvSpPr>
            <xdr:cNvPr id="0" name=""/>
            <xdr:cNvSpPr>
              <a:spLocks noTextEdit="1"/>
            </xdr:cNvSpPr>
          </xdr:nvSpPr>
          <xdr:spPr>
            <a:xfrm>
              <a:off x="15240" y="1165860"/>
              <a:ext cx="1495425" cy="1424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xdr:colOff>
      <xdr:row>23</xdr:row>
      <xdr:rowOff>0</xdr:rowOff>
    </xdr:from>
    <xdr:to>
      <xdr:col>2</xdr:col>
      <xdr:colOff>295275</xdr:colOff>
      <xdr:row>30</xdr:row>
      <xdr:rowOff>53340</xdr:rowOff>
    </xdr:to>
    <mc:AlternateContent xmlns:mc="http://schemas.openxmlformats.org/markup-compatibility/2006" xmlns:a14="http://schemas.microsoft.com/office/drawing/2010/main">
      <mc:Choice Requires="a14">
        <xdr:graphicFrame macro="">
          <xdr:nvGraphicFramePr>
            <xdr:cNvPr id="70" name="Region 3">
              <a:extLst>
                <a:ext uri="{FF2B5EF4-FFF2-40B4-BE49-F238E27FC236}">
                  <a16:creationId xmlns:a16="http://schemas.microsoft.com/office/drawing/2014/main" id="{1EDC5993-DE91-452F-B094-E696EDAF63E1}"/>
                </a:ext>
                <a:ext uri="{147F2762-F138-4A5C-976F-8EAC2B608ADB}">
                  <a16:predDERef xmlns:a16="http://schemas.microsoft.com/office/drawing/2014/main" pred="{FCE134F8-5D20-47F0-A01C-6375C96D08B7}"/>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15240" y="15240"/>
              <a:ext cx="1407795" cy="1143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0</xdr:colOff>
      <xdr:row>4</xdr:row>
      <xdr:rowOff>76200</xdr:rowOff>
    </xdr:from>
    <xdr:to>
      <xdr:col>20</xdr:col>
      <xdr:colOff>426720</xdr:colOff>
      <xdr:row>4</xdr:row>
      <xdr:rowOff>85725</xdr:rowOff>
    </xdr:to>
    <xdr:cxnSp macro="">
      <xdr:nvCxnSpPr>
        <xdr:cNvPr id="85" name="Straight Connector 35">
          <a:extLst>
            <a:ext uri="{FF2B5EF4-FFF2-40B4-BE49-F238E27FC236}">
              <a16:creationId xmlns:a16="http://schemas.microsoft.com/office/drawing/2014/main" id="{05D94272-AD90-4F8C-A3E4-DB29C50461C6}"/>
            </a:ext>
            <a:ext uri="{147F2762-F138-4A5C-976F-8EAC2B608ADB}">
              <a16:predDERef xmlns:a16="http://schemas.microsoft.com/office/drawing/2014/main" pred="{1EDC5993-DE91-452F-B094-E696EDAF63E1}"/>
            </a:ext>
          </a:extLst>
        </xdr:cNvPr>
        <xdr:cNvCxnSpPr>
          <a:cxnSpLocks/>
        </xdr:cNvCxnSpPr>
      </xdr:nvCxnSpPr>
      <xdr:spPr>
        <a:xfrm flipV="1">
          <a:off x="2438400" y="800100"/>
          <a:ext cx="10180320" cy="9525"/>
        </a:xfrm>
        <a:prstGeom prst="line">
          <a:avLst/>
        </a:prstGeom>
        <a:ln>
          <a:solidFill>
            <a:schemeClr val="tx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352425</xdr:colOff>
      <xdr:row>0</xdr:row>
      <xdr:rowOff>0</xdr:rowOff>
    </xdr:from>
    <xdr:to>
      <xdr:col>19</xdr:col>
      <xdr:colOff>28575</xdr:colOff>
      <xdr:row>4</xdr:row>
      <xdr:rowOff>57150</xdr:rowOff>
    </xdr:to>
    <xdr:sp macro="" textlink="">
      <xdr:nvSpPr>
        <xdr:cNvPr id="82" name="TextBox 44">
          <a:extLst>
            <a:ext uri="{FF2B5EF4-FFF2-40B4-BE49-F238E27FC236}">
              <a16:creationId xmlns:a16="http://schemas.microsoft.com/office/drawing/2014/main" id="{C83E54FB-2BCC-4F23-8604-0EDB9C1ADA5A}"/>
            </a:ext>
            <a:ext uri="{147F2762-F138-4A5C-976F-8EAC2B608ADB}">
              <a16:predDERef xmlns:a16="http://schemas.microsoft.com/office/drawing/2014/main" pred="{05D94272-AD90-4F8C-A3E4-DB29C50461C6}"/>
            </a:ext>
          </a:extLst>
        </xdr:cNvPr>
        <xdr:cNvSpPr txBox="1"/>
      </xdr:nvSpPr>
      <xdr:spPr>
        <a:xfrm>
          <a:off x="3400425" y="0"/>
          <a:ext cx="8210550" cy="781050"/>
        </a:xfrm>
        <a:prstGeom prst="rect">
          <a:avLst/>
        </a:prstGeom>
        <a:solidFill>
          <a:schemeClr val="lt1"/>
        </a:solidFill>
        <a:ln w="9525" cmpd="sng">
          <a:solidFill>
            <a:schemeClr val="bg1"/>
          </a:solidFill>
        </a:ln>
      </xdr:spPr>
      <xdr:txBody>
        <a:bodyPr spcFirstLastPara="0" wrap="square" lIns="91440" tIns="45720" rIns="91440" bIns="45720" rtlCol="0" anchor="t">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r>
            <a:rPr lang="en-US" sz="2400" b="1">
              <a:latin typeface="+mn-lt"/>
              <a:ea typeface="+mn-lt"/>
              <a:cs typeface="+mn-lt"/>
            </a:rPr>
            <a:t>CHANNEL  PERFORMANCE  ANALYSIS</a:t>
          </a:r>
        </a:p>
        <a:p>
          <a:pPr marL="0" indent="0" algn="ctr"/>
          <a:r>
            <a:rPr lang="en-IN" sz="2000" b="1">
              <a:latin typeface="+mn-lt"/>
              <a:ea typeface="+mn-lt"/>
              <a:cs typeface="+mn-lt"/>
            </a:rPr>
            <a:t>Which Channels</a:t>
          </a:r>
          <a:r>
            <a:rPr lang="en-IN" sz="2000" b="1" baseline="0">
              <a:latin typeface="+mn-lt"/>
              <a:ea typeface="+mn-lt"/>
              <a:cs typeface="+mn-lt"/>
            </a:rPr>
            <a:t> Proved </a:t>
          </a:r>
          <a:r>
            <a:rPr lang="en-IN" sz="2000" b="1">
              <a:solidFill>
                <a:srgbClr val="38C2AD"/>
              </a:solidFill>
              <a:latin typeface="+mn-lt"/>
              <a:ea typeface="+mn-lt"/>
              <a:cs typeface="+mn-lt"/>
            </a:rPr>
            <a:t>Most Efficient</a:t>
          </a:r>
          <a:r>
            <a:rPr lang="en-IN" sz="2000" b="1" baseline="0">
              <a:solidFill>
                <a:srgbClr val="38C2AD"/>
              </a:solidFill>
              <a:latin typeface="+mn-lt"/>
              <a:ea typeface="+mn-lt"/>
              <a:cs typeface="+mn-lt"/>
            </a:rPr>
            <a:t> </a:t>
          </a:r>
          <a:r>
            <a:rPr lang="en-US" sz="2000" b="1" baseline="0">
              <a:latin typeface="+mn-lt"/>
              <a:ea typeface="+mn-lt"/>
              <a:cs typeface="+mn-lt"/>
            </a:rPr>
            <a:t>? </a:t>
          </a:r>
          <a:endParaRPr lang="en-US" sz="2000" b="1">
            <a:latin typeface="+mn-lt"/>
            <a:ea typeface="+mn-lt"/>
            <a:cs typeface="+mn-lt"/>
          </a:endParaRPr>
        </a:p>
      </xdr:txBody>
    </xdr:sp>
    <xdr:clientData/>
  </xdr:twoCellAnchor>
  <xdr:twoCellAnchor>
    <xdr:from>
      <xdr:col>11</xdr:col>
      <xdr:colOff>104775</xdr:colOff>
      <xdr:row>4</xdr:row>
      <xdr:rowOff>171450</xdr:rowOff>
    </xdr:from>
    <xdr:to>
      <xdr:col>12</xdr:col>
      <xdr:colOff>552450</xdr:colOff>
      <xdr:row>8</xdr:row>
      <xdr:rowOff>133350</xdr:rowOff>
    </xdr:to>
    <xdr:sp macro="" textlink="">
      <xdr:nvSpPr>
        <xdr:cNvPr id="545" name="Rectangle 76">
          <a:extLst>
            <a:ext uri="{FF2B5EF4-FFF2-40B4-BE49-F238E27FC236}">
              <a16:creationId xmlns:a16="http://schemas.microsoft.com/office/drawing/2014/main" id="{CDD225CF-5323-40DF-AB6A-7DDCC23DC69F}"/>
            </a:ext>
            <a:ext uri="{147F2762-F138-4A5C-976F-8EAC2B608ADB}">
              <a16:predDERef xmlns:a16="http://schemas.microsoft.com/office/drawing/2014/main" pred="{C83E54FB-2BCC-4F23-8604-0EDB9C1ADA5A}"/>
            </a:ext>
          </a:extLst>
        </xdr:cNvPr>
        <xdr:cNvSpPr/>
      </xdr:nvSpPr>
      <xdr:spPr>
        <a:xfrm>
          <a:off x="6810375" y="895350"/>
          <a:ext cx="1057275" cy="6858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b"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600" b="1">
              <a:solidFill>
                <a:srgbClr val="00B050"/>
              </a:solidFill>
              <a:latin typeface="+mn-lt"/>
              <a:ea typeface="+mn-ea"/>
              <a:cs typeface="+mn-cs"/>
            </a:rPr>
            <a:t>ROI</a:t>
          </a:r>
          <a:endParaRPr lang="en-US" sz="1400" b="1">
            <a:solidFill>
              <a:srgbClr val="00B050"/>
            </a:solidFill>
            <a:latin typeface="+mn-lt"/>
            <a:ea typeface="+mn-ea"/>
            <a:cs typeface="+mn-cs"/>
          </a:endParaRPr>
        </a:p>
      </xdr:txBody>
    </xdr:sp>
    <xdr:clientData/>
  </xdr:twoCellAnchor>
  <xdr:twoCellAnchor>
    <xdr:from>
      <xdr:col>8</xdr:col>
      <xdr:colOff>314325</xdr:colOff>
      <xdr:row>4</xdr:row>
      <xdr:rowOff>131445</xdr:rowOff>
    </xdr:from>
    <xdr:to>
      <xdr:col>11</xdr:col>
      <xdr:colOff>80010</xdr:colOff>
      <xdr:row>8</xdr:row>
      <xdr:rowOff>93345</xdr:rowOff>
    </xdr:to>
    <xdr:sp macro="" textlink="">
      <xdr:nvSpPr>
        <xdr:cNvPr id="516" name="Rectangle 77">
          <a:extLst>
            <a:ext uri="{FF2B5EF4-FFF2-40B4-BE49-F238E27FC236}">
              <a16:creationId xmlns:a16="http://schemas.microsoft.com/office/drawing/2014/main" id="{9A8429BE-D46B-4803-9BD1-4C208DBEEFAE}"/>
            </a:ext>
            <a:ext uri="{147F2762-F138-4A5C-976F-8EAC2B608ADB}">
              <a16:predDERef xmlns:a16="http://schemas.microsoft.com/office/drawing/2014/main" pred="{CDD225CF-5323-40DF-AB6A-7DDCC23DC69F}"/>
            </a:ext>
          </a:extLst>
        </xdr:cNvPr>
        <xdr:cNvSpPr/>
      </xdr:nvSpPr>
      <xdr:spPr>
        <a:xfrm>
          <a:off x="5191125" y="862965"/>
          <a:ext cx="1594485" cy="69342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b"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400" b="1">
              <a:solidFill>
                <a:sysClr val="windowText" lastClr="000000"/>
              </a:solidFill>
              <a:latin typeface="+mn-lt"/>
              <a:ea typeface="+mn-ea"/>
              <a:cs typeface="+mn-cs"/>
            </a:rPr>
            <a:t>Conversion Rate %</a:t>
          </a:r>
        </a:p>
      </xdr:txBody>
    </xdr:sp>
    <xdr:clientData/>
  </xdr:twoCellAnchor>
  <xdr:twoCellAnchor>
    <xdr:from>
      <xdr:col>5</xdr:col>
      <xdr:colOff>306705</xdr:colOff>
      <xdr:row>4</xdr:row>
      <xdr:rowOff>142875</xdr:rowOff>
    </xdr:from>
    <xdr:to>
      <xdr:col>8</xdr:col>
      <xdr:colOff>154305</xdr:colOff>
      <xdr:row>8</xdr:row>
      <xdr:rowOff>104775</xdr:rowOff>
    </xdr:to>
    <xdr:sp macro="" textlink="">
      <xdr:nvSpPr>
        <xdr:cNvPr id="115" name="Rectangle 78">
          <a:extLst>
            <a:ext uri="{FF2B5EF4-FFF2-40B4-BE49-F238E27FC236}">
              <a16:creationId xmlns:a16="http://schemas.microsoft.com/office/drawing/2014/main" id="{66932889-0E00-4B3A-B3E7-80DAC6884E73}"/>
            </a:ext>
            <a:ext uri="{147F2762-F138-4A5C-976F-8EAC2B608ADB}">
              <a16:predDERef xmlns:a16="http://schemas.microsoft.com/office/drawing/2014/main" pred="{9A8429BE-D46B-4803-9BD1-4C208DBEEFAE}"/>
            </a:ext>
          </a:extLst>
        </xdr:cNvPr>
        <xdr:cNvSpPr/>
      </xdr:nvSpPr>
      <xdr:spPr>
        <a:xfrm>
          <a:off x="3354705" y="874395"/>
          <a:ext cx="1676400" cy="69342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b"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r>
            <a:rPr lang="en-US" sz="1400" b="1">
              <a:solidFill>
                <a:sysClr val="windowText" lastClr="000000"/>
              </a:solidFill>
            </a:rPr>
            <a:t>Reveneue</a:t>
          </a:r>
          <a:endParaRPr lang="en-US" b="1">
            <a:solidFill>
              <a:sysClr val="windowText" lastClr="000000"/>
            </a:solidFill>
          </a:endParaRPr>
        </a:p>
      </xdr:txBody>
    </xdr:sp>
    <xdr:clientData/>
  </xdr:twoCellAnchor>
  <xdr:twoCellAnchor>
    <xdr:from>
      <xdr:col>2</xdr:col>
      <xdr:colOff>342900</xdr:colOff>
      <xdr:row>4</xdr:row>
      <xdr:rowOff>66675</xdr:rowOff>
    </xdr:from>
    <xdr:to>
      <xdr:col>5</xdr:col>
      <xdr:colOff>142875</xdr:colOff>
      <xdr:row>8</xdr:row>
      <xdr:rowOff>28575</xdr:rowOff>
    </xdr:to>
    <xdr:sp macro="" textlink="">
      <xdr:nvSpPr>
        <xdr:cNvPr id="541" name="Rectangle 79">
          <a:extLst>
            <a:ext uri="{FF2B5EF4-FFF2-40B4-BE49-F238E27FC236}">
              <a16:creationId xmlns:a16="http://schemas.microsoft.com/office/drawing/2014/main" id="{48A7FBC8-B9D0-49F2-8FD7-E65D480C3DB4}"/>
            </a:ext>
            <a:ext uri="{147F2762-F138-4A5C-976F-8EAC2B608ADB}">
              <a16:predDERef xmlns:a16="http://schemas.microsoft.com/office/drawing/2014/main" pred="{66932889-0E00-4B3A-B3E7-80DAC6884E73}"/>
            </a:ext>
          </a:extLst>
        </xdr:cNvPr>
        <xdr:cNvSpPr/>
      </xdr:nvSpPr>
      <xdr:spPr>
        <a:xfrm>
          <a:off x="1562100" y="790575"/>
          <a:ext cx="1628775" cy="6858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endParaRPr lang="en-US" sz="1400" b="1">
            <a:solidFill>
              <a:schemeClr val="lt1"/>
            </a:solidFill>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endParaRPr lang="en-US" sz="1400" b="1">
            <a:solidFill>
              <a:schemeClr val="lt1"/>
            </a:solidFill>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US" sz="1400" b="1">
              <a:solidFill>
                <a:sysClr val="windowText" lastClr="000000"/>
              </a:solidFill>
              <a:latin typeface="+mn-lt"/>
              <a:ea typeface="+mn-ea"/>
              <a:cs typeface="+mn-cs"/>
            </a:rPr>
            <a:t>Channel Spend</a:t>
          </a:r>
        </a:p>
        <a:p>
          <a:pPr marL="0" marR="0" lvl="0" indent="0" algn="ctr" defTabSz="914400" eaLnBrk="1" fontAlgn="auto" latinLnBrk="0" hangingPunct="1">
            <a:lnSpc>
              <a:spcPct val="100000"/>
            </a:lnSpc>
            <a:spcBef>
              <a:spcPts val="0"/>
            </a:spcBef>
            <a:spcAft>
              <a:spcPts val="0"/>
            </a:spcAft>
            <a:buClrTx/>
            <a:buSzTx/>
            <a:buFontTx/>
            <a:buNone/>
            <a:tabLst/>
            <a:defRPr/>
          </a:pPr>
          <a:endParaRPr lang="en-US" sz="1400" b="1">
            <a:solidFill>
              <a:schemeClr val="lt1"/>
            </a:solidFill>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endParaRPr lang="en-US" sz="1400" b="1">
            <a:solidFill>
              <a:schemeClr val="lt1"/>
            </a:solidFill>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endParaRPr lang="en-US" sz="1400" b="1">
            <a:solidFill>
              <a:schemeClr val="lt1"/>
            </a:solidFill>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endParaRPr lang="en-US" sz="1400" b="1">
            <a:solidFill>
              <a:schemeClr val="lt1"/>
            </a:solidFill>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endParaRPr lang="en-US" sz="1400" b="1">
            <a:solidFill>
              <a:schemeClr val="lt1"/>
            </a:solidFill>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endParaRPr lang="en-US" sz="1400" b="1">
            <a:solidFill>
              <a:schemeClr val="lt1"/>
            </a:solidFill>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US" sz="1400" b="1">
              <a:solidFill>
                <a:schemeClr val="lt1"/>
              </a:solidFill>
              <a:latin typeface="+mn-lt"/>
              <a:ea typeface="+mn-ea"/>
              <a:cs typeface="+mn-cs"/>
            </a:rPr>
            <a:t>Product Spend</a:t>
          </a:r>
          <a:endParaRPr lang="en-IN" sz="1400" b="1">
            <a:solidFill>
              <a:schemeClr val="lt1"/>
            </a:solidFill>
            <a:latin typeface="+mn-lt"/>
            <a:ea typeface="+mn-ea"/>
            <a:cs typeface="+mn-cs"/>
          </a:endParaRPr>
        </a:p>
        <a:p>
          <a:pPr marL="0" indent="0" algn="ctr"/>
          <a:endParaRPr lang="en-US" sz="1400" b="1">
            <a:solidFill>
              <a:schemeClr val="lt1"/>
            </a:solidFill>
            <a:latin typeface="+mn-lt"/>
            <a:ea typeface="+mn-ea"/>
            <a:cs typeface="+mn-cs"/>
          </a:endParaRPr>
        </a:p>
      </xdr:txBody>
    </xdr:sp>
    <xdr:clientData/>
  </xdr:twoCellAnchor>
  <xdr:twoCellAnchor>
    <xdr:from>
      <xdr:col>2</xdr:col>
      <xdr:colOff>501015</xdr:colOff>
      <xdr:row>4</xdr:row>
      <xdr:rowOff>177166</xdr:rowOff>
    </xdr:from>
    <xdr:to>
      <xdr:col>4</xdr:col>
      <xdr:colOff>554355</xdr:colOff>
      <xdr:row>6</xdr:row>
      <xdr:rowOff>146685</xdr:rowOff>
    </xdr:to>
    <xdr:sp macro="" textlink="'Pivots &amp; KPIs'!$A$4">
      <xdr:nvSpPr>
        <xdr:cNvPr id="543" name="TextBox 80">
          <a:extLst>
            <a:ext uri="{FF2B5EF4-FFF2-40B4-BE49-F238E27FC236}">
              <a16:creationId xmlns:a16="http://schemas.microsoft.com/office/drawing/2014/main" id="{50BF1F62-41B2-86AB-EB2F-62A2348F6557}"/>
            </a:ext>
            <a:ext uri="{147F2762-F138-4A5C-976F-8EAC2B608ADB}">
              <a16:predDERef xmlns:a16="http://schemas.microsoft.com/office/drawing/2014/main" pred="{48A7FBC8-B9D0-49F2-8FD7-E65D480C3DB4}"/>
            </a:ext>
          </a:extLst>
        </xdr:cNvPr>
        <xdr:cNvSpPr txBox="1"/>
      </xdr:nvSpPr>
      <xdr:spPr>
        <a:xfrm>
          <a:off x="1720215" y="908686"/>
          <a:ext cx="1272540" cy="335279"/>
        </a:xfrm>
        <a:prstGeom prst="rect">
          <a:avLst/>
        </a:prstGeom>
        <a:solidFill>
          <a:schemeClr val="lt1"/>
        </a:solidFill>
        <a:ln w="9525" cmpd="sng">
          <a:solidFill>
            <a:schemeClr val="bg1"/>
          </a:solidFill>
        </a:ln>
      </xdr:spPr>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lgn="ctr"/>
          <a:fld id="{FF41BFB2-0429-458F-83E6-8E69FE595FF0}" type="TxLink">
            <a:rPr lang="en-US" sz="2000" b="1" i="0" u="none" strike="noStrike">
              <a:solidFill>
                <a:srgbClr val="000000"/>
              </a:solidFill>
              <a:latin typeface="Aptos Narrow"/>
              <a:ea typeface="+mn-ea"/>
              <a:cs typeface="+mn-cs"/>
            </a:rPr>
            <a:pPr marL="0" indent="0" algn="ctr"/>
            <a:t> $2,61,166 </a:t>
          </a:fld>
          <a:endParaRPr lang="en-US" sz="2000" b="1" i="0" u="none" strike="noStrike">
            <a:solidFill>
              <a:srgbClr val="000000"/>
            </a:solidFill>
            <a:latin typeface="Aptos Narrow"/>
            <a:ea typeface="+mn-ea"/>
            <a:cs typeface="+mn-cs"/>
          </a:endParaRPr>
        </a:p>
      </xdr:txBody>
    </xdr:sp>
    <xdr:clientData/>
  </xdr:twoCellAnchor>
  <xdr:twoCellAnchor>
    <xdr:from>
      <xdr:col>11</xdr:col>
      <xdr:colOff>285750</xdr:colOff>
      <xdr:row>4</xdr:row>
      <xdr:rowOff>179069</xdr:rowOff>
    </xdr:from>
    <xdr:to>
      <xdr:col>12</xdr:col>
      <xdr:colOff>474345</xdr:colOff>
      <xdr:row>7</xdr:row>
      <xdr:rowOff>3809</xdr:rowOff>
    </xdr:to>
    <xdr:sp macro="" textlink="'Pivots &amp; KPIs'!$E$3">
      <xdr:nvSpPr>
        <xdr:cNvPr id="525" name="TextBox 81">
          <a:extLst>
            <a:ext uri="{FF2B5EF4-FFF2-40B4-BE49-F238E27FC236}">
              <a16:creationId xmlns:a16="http://schemas.microsoft.com/office/drawing/2014/main" id="{7740278A-41A1-4218-A7E2-3ECEA53E1388}"/>
            </a:ext>
            <a:ext uri="{147F2762-F138-4A5C-976F-8EAC2B608ADB}">
              <a16:predDERef xmlns:a16="http://schemas.microsoft.com/office/drawing/2014/main" pred="{50BF1F62-41B2-86AB-EB2F-62A2348F6557}"/>
            </a:ext>
          </a:extLst>
        </xdr:cNvPr>
        <xdr:cNvSpPr txBox="1"/>
      </xdr:nvSpPr>
      <xdr:spPr>
        <a:xfrm>
          <a:off x="6991350" y="910589"/>
          <a:ext cx="798195" cy="373380"/>
        </a:xfrm>
        <a:prstGeom prst="rect">
          <a:avLst/>
        </a:prstGeom>
        <a:solidFill>
          <a:schemeClr val="lt1"/>
        </a:solidFill>
        <a:ln w="9525" cmpd="sng">
          <a:solidFill>
            <a:schemeClr val="bg1"/>
          </a:solidFill>
        </a:ln>
      </xdr:spPr>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fld id="{C023ECF6-9A70-4E00-9FC0-D6005232AB89}" type="TxLink">
            <a:rPr lang="en-US" sz="2000" b="1" i="0" u="none" strike="noStrike">
              <a:solidFill>
                <a:srgbClr val="00B050"/>
              </a:solidFill>
              <a:latin typeface="Aptos Narrow"/>
              <a:ea typeface="+mn-ea"/>
              <a:cs typeface="+mn-cs"/>
            </a:rPr>
            <a:pPr marL="0" indent="0" algn="ctr"/>
            <a:t>299%</a:t>
          </a:fld>
          <a:endParaRPr lang="en-US" sz="2000" b="1" i="0" u="none" strike="noStrike">
            <a:solidFill>
              <a:srgbClr val="00B050"/>
            </a:solidFill>
            <a:latin typeface="Aptos Narrow"/>
            <a:ea typeface="+mn-ea"/>
            <a:cs typeface="+mn-cs"/>
          </a:endParaRPr>
        </a:p>
      </xdr:txBody>
    </xdr:sp>
    <xdr:clientData/>
  </xdr:twoCellAnchor>
  <xdr:twoCellAnchor>
    <xdr:from>
      <xdr:col>9</xdr:col>
      <xdr:colOff>41911</xdr:colOff>
      <xdr:row>5</xdr:row>
      <xdr:rowOff>24765</xdr:rowOff>
    </xdr:from>
    <xdr:to>
      <xdr:col>10</xdr:col>
      <xdr:colOff>209551</xdr:colOff>
      <xdr:row>7</xdr:row>
      <xdr:rowOff>7620</xdr:rowOff>
    </xdr:to>
    <xdr:sp macro="" textlink="'Pivots &amp; KPIs'!$J$3">
      <xdr:nvSpPr>
        <xdr:cNvPr id="544" name="TextBox 82">
          <a:extLst>
            <a:ext uri="{FF2B5EF4-FFF2-40B4-BE49-F238E27FC236}">
              <a16:creationId xmlns:a16="http://schemas.microsoft.com/office/drawing/2014/main" id="{CBB9192E-FB68-402D-9A00-56F61E363ED4}"/>
            </a:ext>
            <a:ext uri="{147F2762-F138-4A5C-976F-8EAC2B608ADB}">
              <a16:predDERef xmlns:a16="http://schemas.microsoft.com/office/drawing/2014/main" pred="{7740278A-41A1-4218-A7E2-3ECEA53E1388}"/>
            </a:ext>
          </a:extLst>
        </xdr:cNvPr>
        <xdr:cNvSpPr txBox="1"/>
      </xdr:nvSpPr>
      <xdr:spPr>
        <a:xfrm>
          <a:off x="5528311" y="929640"/>
          <a:ext cx="777240" cy="344805"/>
        </a:xfrm>
        <a:prstGeom prst="rect">
          <a:avLst/>
        </a:prstGeom>
        <a:solidFill>
          <a:schemeClr val="lt1"/>
        </a:solidFill>
        <a:ln w="9525" cmpd="sng">
          <a:solidFill>
            <a:schemeClr val="bg1"/>
          </a:solidFill>
        </a:ln>
      </xdr:spPr>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fld id="{6EFDE555-560C-49EB-BFE1-8FB6B0735E6D}" type="TxLink">
            <a:rPr lang="en-US" sz="2000" b="1" i="0" u="none" strike="noStrike">
              <a:solidFill>
                <a:srgbClr val="000000"/>
              </a:solidFill>
              <a:latin typeface="Aptos Narrow"/>
              <a:ea typeface="+mn-ea"/>
              <a:cs typeface="+mn-cs"/>
            </a:rPr>
            <a:pPr marL="0" indent="0" algn="ctr"/>
            <a:t>5%</a:t>
          </a:fld>
          <a:endParaRPr lang="en-US" sz="2000" b="1" i="0" u="none" strike="noStrike">
            <a:solidFill>
              <a:srgbClr val="000000"/>
            </a:solidFill>
            <a:latin typeface="Aptos Narrow"/>
            <a:ea typeface="+mn-ea"/>
            <a:cs typeface="+mn-cs"/>
          </a:endParaRPr>
        </a:p>
      </xdr:txBody>
    </xdr:sp>
    <xdr:clientData/>
  </xdr:twoCellAnchor>
  <xdr:twoCellAnchor>
    <xdr:from>
      <xdr:col>5</xdr:col>
      <xdr:colOff>413385</xdr:colOff>
      <xdr:row>5</xdr:row>
      <xdr:rowOff>5714</xdr:rowOff>
    </xdr:from>
    <xdr:to>
      <xdr:col>8</xdr:col>
      <xdr:colOff>9525</xdr:colOff>
      <xdr:row>7</xdr:row>
      <xdr:rowOff>15239</xdr:rowOff>
    </xdr:to>
    <xdr:sp macro="" textlink="'Pivots &amp; KPIs'!$C$4">
      <xdr:nvSpPr>
        <xdr:cNvPr id="514" name="TextBox 83">
          <a:extLst>
            <a:ext uri="{FF2B5EF4-FFF2-40B4-BE49-F238E27FC236}">
              <a16:creationId xmlns:a16="http://schemas.microsoft.com/office/drawing/2014/main" id="{95D2393F-C78E-496A-826E-D1477185E7C3}"/>
            </a:ext>
            <a:ext uri="{147F2762-F138-4A5C-976F-8EAC2B608ADB}">
              <a16:predDERef xmlns:a16="http://schemas.microsoft.com/office/drawing/2014/main" pred="{CBB9192E-FB68-402D-9A00-56F61E363ED4}"/>
            </a:ext>
          </a:extLst>
        </xdr:cNvPr>
        <xdr:cNvSpPr txBox="1"/>
      </xdr:nvSpPr>
      <xdr:spPr>
        <a:xfrm>
          <a:off x="3461385" y="910589"/>
          <a:ext cx="1424940" cy="371475"/>
        </a:xfrm>
        <a:prstGeom prst="rect">
          <a:avLst/>
        </a:prstGeom>
        <a:solidFill>
          <a:schemeClr val="lt1"/>
        </a:solidFill>
        <a:ln w="9525" cmpd="sng">
          <a:solidFill>
            <a:schemeClr val="bg1"/>
          </a:solidFill>
        </a:ln>
      </xdr:spPr>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fld id="{463D334A-CC5A-4765-A7AF-F9DDF0498371}" type="TxLink">
            <a:rPr lang="en-US" sz="2000" b="1" i="0" u="none" strike="noStrike">
              <a:solidFill>
                <a:srgbClr val="000000"/>
              </a:solidFill>
              <a:latin typeface="Aptos Narrow"/>
              <a:ea typeface="+mn-ea"/>
              <a:cs typeface="+mn-cs"/>
            </a:rPr>
            <a:pPr marL="0" indent="0" algn="ctr"/>
            <a:t> $10,42,480 </a:t>
          </a:fld>
          <a:endParaRPr lang="en-US" sz="2000" b="1" i="0" u="none" strike="noStrike">
            <a:solidFill>
              <a:srgbClr val="000000"/>
            </a:solidFill>
            <a:latin typeface="Aptos Narrow"/>
            <a:ea typeface="+mn-ea"/>
            <a:cs typeface="+mn-cs"/>
          </a:endParaRPr>
        </a:p>
      </xdr:txBody>
    </xdr:sp>
    <xdr:clientData/>
  </xdr:twoCellAnchor>
  <xdr:twoCellAnchor>
    <xdr:from>
      <xdr:col>16</xdr:col>
      <xdr:colOff>57150</xdr:colOff>
      <xdr:row>4</xdr:row>
      <xdr:rowOff>142875</xdr:rowOff>
    </xdr:from>
    <xdr:to>
      <xdr:col>22</xdr:col>
      <xdr:colOff>581025</xdr:colOff>
      <xdr:row>17</xdr:row>
      <xdr:rowOff>0</xdr:rowOff>
    </xdr:to>
    <xdr:graphicFrame macro="">
      <xdr:nvGraphicFramePr>
        <xdr:cNvPr id="558" name="Chart 2">
          <a:extLst>
            <a:ext uri="{FF2B5EF4-FFF2-40B4-BE49-F238E27FC236}">
              <a16:creationId xmlns:a16="http://schemas.microsoft.com/office/drawing/2014/main" id="{E12A48BF-52A5-45BB-8702-44865C78E7C5}"/>
            </a:ext>
            <a:ext uri="{147F2762-F138-4A5C-976F-8EAC2B608ADB}">
              <a16:predDERef xmlns:a16="http://schemas.microsoft.com/office/drawing/2014/main" pred="{95D2393F-C78E-496A-826E-D1477185E7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323850</xdr:colOff>
      <xdr:row>20</xdr:row>
      <xdr:rowOff>28575</xdr:rowOff>
    </xdr:from>
    <xdr:to>
      <xdr:col>9</xdr:col>
      <xdr:colOff>47625</xdr:colOff>
      <xdr:row>29</xdr:row>
      <xdr:rowOff>142875</xdr:rowOff>
    </xdr:to>
    <xdr:graphicFrame macro="">
      <xdr:nvGraphicFramePr>
        <xdr:cNvPr id="127" name="Chart 3">
          <a:extLst>
            <a:ext uri="{FF2B5EF4-FFF2-40B4-BE49-F238E27FC236}">
              <a16:creationId xmlns:a16="http://schemas.microsoft.com/office/drawing/2014/main" id="{1612ABFC-AECA-4E71-9F60-1E89D2874FE3}"/>
            </a:ext>
            <a:ext uri="{147F2762-F138-4A5C-976F-8EAC2B608ADB}">
              <a16:predDERef xmlns:a16="http://schemas.microsoft.com/office/drawing/2014/main" pred="{E12A48BF-52A5-45BB-8702-44865C78E7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76200</xdr:colOff>
      <xdr:row>12</xdr:row>
      <xdr:rowOff>47625</xdr:rowOff>
    </xdr:from>
    <xdr:to>
      <xdr:col>16</xdr:col>
      <xdr:colOff>28575</xdr:colOff>
      <xdr:row>29</xdr:row>
      <xdr:rowOff>142875</xdr:rowOff>
    </xdr:to>
    <xdr:graphicFrame macro="">
      <xdr:nvGraphicFramePr>
        <xdr:cNvPr id="92" name="Chart 18">
          <a:extLst>
            <a:ext uri="{FF2B5EF4-FFF2-40B4-BE49-F238E27FC236}">
              <a16:creationId xmlns:a16="http://schemas.microsoft.com/office/drawing/2014/main" id="{FE0A93CF-440E-41DD-8FD8-8B50A88D49FC}"/>
            </a:ext>
            <a:ext uri="{147F2762-F138-4A5C-976F-8EAC2B608ADB}">
              <a16:predDERef xmlns:a16="http://schemas.microsoft.com/office/drawing/2014/main" pred="{1612ABFC-AECA-4E71-9F60-1E89D2874F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323850</xdr:colOff>
      <xdr:row>9</xdr:row>
      <xdr:rowOff>28575</xdr:rowOff>
    </xdr:from>
    <xdr:to>
      <xdr:col>9</xdr:col>
      <xdr:colOff>47625</xdr:colOff>
      <xdr:row>20</xdr:row>
      <xdr:rowOff>9525</xdr:rowOff>
    </xdr:to>
    <xdr:graphicFrame macro="">
      <xdr:nvGraphicFramePr>
        <xdr:cNvPr id="566" name="Chart 159">
          <a:extLst>
            <a:ext uri="{FF2B5EF4-FFF2-40B4-BE49-F238E27FC236}">
              <a16:creationId xmlns:a16="http://schemas.microsoft.com/office/drawing/2014/main" id="{17C78E4E-68B0-4810-922E-24B8178D0B67}"/>
            </a:ext>
            <a:ext uri="{147F2762-F138-4A5C-976F-8EAC2B608ADB}">
              <a16:predDERef xmlns:a16="http://schemas.microsoft.com/office/drawing/2014/main" pred="{FE0A93CF-440E-41DD-8FD8-8B50A88D49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66675</xdr:colOff>
      <xdr:row>17</xdr:row>
      <xdr:rowOff>19050</xdr:rowOff>
    </xdr:from>
    <xdr:to>
      <xdr:col>22</xdr:col>
      <xdr:colOff>581025</xdr:colOff>
      <xdr:row>29</xdr:row>
      <xdr:rowOff>123825</xdr:rowOff>
    </xdr:to>
    <xdr:graphicFrame macro="">
      <xdr:nvGraphicFramePr>
        <xdr:cNvPr id="562" name="Chart 1">
          <a:extLst>
            <a:ext uri="{FF2B5EF4-FFF2-40B4-BE49-F238E27FC236}">
              <a16:creationId xmlns:a16="http://schemas.microsoft.com/office/drawing/2014/main" id="{3AC4C6C9-050D-479E-A702-15A63F8D09FD}"/>
            </a:ext>
            <a:ext uri="{147F2762-F138-4A5C-976F-8EAC2B608ADB}">
              <a16:predDERef xmlns:a16="http://schemas.microsoft.com/office/drawing/2014/main" pred="{17C78E4E-68B0-4810-922E-24B8178D0B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97155</xdr:colOff>
      <xdr:row>5</xdr:row>
      <xdr:rowOff>144780</xdr:rowOff>
    </xdr:from>
    <xdr:to>
      <xdr:col>16</xdr:col>
      <xdr:colOff>20955</xdr:colOff>
      <xdr:row>9</xdr:row>
      <xdr:rowOff>45720</xdr:rowOff>
    </xdr:to>
    <xdr:sp macro="" textlink="">
      <xdr:nvSpPr>
        <xdr:cNvPr id="548" name="Rectangle 76">
          <a:extLst>
            <a:ext uri="{FF2B5EF4-FFF2-40B4-BE49-F238E27FC236}">
              <a16:creationId xmlns:a16="http://schemas.microsoft.com/office/drawing/2014/main" id="{42AC623E-9AAF-4529-A7F2-E29956A5697A}"/>
            </a:ext>
            <a:ext uri="{147F2762-F138-4A5C-976F-8EAC2B608ADB}">
              <a16:predDERef xmlns:a16="http://schemas.microsoft.com/office/drawing/2014/main" pred="{3AC4C6C9-050D-479E-A702-15A63F8D09FD}"/>
            </a:ext>
          </a:extLst>
        </xdr:cNvPr>
        <xdr:cNvSpPr/>
      </xdr:nvSpPr>
      <xdr:spPr>
        <a:xfrm>
          <a:off x="8021955" y="1059180"/>
          <a:ext cx="1752600" cy="63246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b"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400" b="1">
              <a:solidFill>
                <a:sysClr val="windowText" lastClr="000000"/>
              </a:solidFill>
              <a:latin typeface="+mn-lt"/>
              <a:ea typeface="+mn-ea"/>
              <a:cs typeface="+mn-cs"/>
            </a:rPr>
            <a:t>                               </a:t>
          </a:r>
          <a:r>
            <a:rPr lang="en-US" sz="1600" b="1">
              <a:solidFill>
                <a:sysClr val="windowText" lastClr="000000"/>
              </a:solidFill>
              <a:latin typeface="+mn-lt"/>
              <a:ea typeface="+mn-ea"/>
              <a:cs typeface="+mn-cs"/>
            </a:rPr>
            <a:t>CTR</a:t>
          </a:r>
          <a:r>
            <a:rPr lang="en-US" sz="1400" b="1">
              <a:solidFill>
                <a:sysClr val="windowText" lastClr="000000"/>
              </a:solidFill>
              <a:latin typeface="+mn-lt"/>
              <a:ea typeface="+mn-ea"/>
              <a:cs typeface="+mn-cs"/>
            </a:rPr>
            <a:t> </a:t>
          </a:r>
        </a:p>
        <a:p>
          <a:pPr marL="0" indent="0" algn="ctr"/>
          <a:endParaRPr lang="en-US" sz="1400" b="1">
            <a:solidFill>
              <a:sysClr val="windowText" lastClr="000000"/>
            </a:solidFill>
            <a:latin typeface="+mn-lt"/>
            <a:ea typeface="+mn-ea"/>
            <a:cs typeface="+mn-cs"/>
          </a:endParaRPr>
        </a:p>
        <a:p>
          <a:pPr marL="0" indent="0" algn="ctr"/>
          <a:r>
            <a:rPr lang="en-US" sz="1400" b="1">
              <a:solidFill>
                <a:sysClr val="windowText" lastClr="000000"/>
              </a:solidFill>
              <a:latin typeface="+mn-lt"/>
              <a:ea typeface="+mn-ea"/>
              <a:cs typeface="+mn-cs"/>
            </a:rPr>
            <a:t>                                </a:t>
          </a:r>
          <a:r>
            <a:rPr lang="en-US" sz="1600" b="1">
              <a:solidFill>
                <a:sysClr val="windowText" lastClr="000000"/>
              </a:solidFill>
              <a:latin typeface="+mn-lt"/>
              <a:ea typeface="+mn-ea"/>
              <a:cs typeface="+mn-cs"/>
            </a:rPr>
            <a:t>CPC</a:t>
          </a:r>
          <a:endParaRPr lang="en-US" sz="1400" b="1">
            <a:solidFill>
              <a:sysClr val="windowText" lastClr="000000"/>
            </a:solidFill>
            <a:latin typeface="+mn-lt"/>
            <a:ea typeface="+mn-ea"/>
            <a:cs typeface="+mn-cs"/>
          </a:endParaRPr>
        </a:p>
      </xdr:txBody>
    </xdr:sp>
    <xdr:clientData/>
  </xdr:twoCellAnchor>
  <xdr:twoCellAnchor>
    <xdr:from>
      <xdr:col>13</xdr:col>
      <xdr:colOff>198120</xdr:colOff>
      <xdr:row>5</xdr:row>
      <xdr:rowOff>3810</xdr:rowOff>
    </xdr:from>
    <xdr:to>
      <xdr:col>14</xdr:col>
      <xdr:colOff>381000</xdr:colOff>
      <xdr:row>6</xdr:row>
      <xdr:rowOff>93345</xdr:rowOff>
    </xdr:to>
    <xdr:sp macro="" textlink="'Pivots &amp; KPIs'!M11">
      <xdr:nvSpPr>
        <xdr:cNvPr id="553" name="TextBox 14">
          <a:extLst>
            <a:ext uri="{FF2B5EF4-FFF2-40B4-BE49-F238E27FC236}">
              <a16:creationId xmlns:a16="http://schemas.microsoft.com/office/drawing/2014/main" id="{A111AA07-33A9-DF40-69C7-FA17E3F8A157}"/>
            </a:ext>
            <a:ext uri="{147F2762-F138-4A5C-976F-8EAC2B608ADB}">
              <a16:predDERef xmlns:a16="http://schemas.microsoft.com/office/drawing/2014/main" pred="{42AC623E-9AAF-4529-A7F2-E29956A5697A}"/>
            </a:ext>
          </a:extLst>
        </xdr:cNvPr>
        <xdr:cNvSpPr txBox="1"/>
      </xdr:nvSpPr>
      <xdr:spPr>
        <a:xfrm>
          <a:off x="8122920" y="918210"/>
          <a:ext cx="792480" cy="272415"/>
        </a:xfrm>
        <a:prstGeom prst="rect">
          <a:avLst/>
        </a:prstGeom>
        <a:solidFill>
          <a:schemeClr val="lt1"/>
        </a:solidFill>
        <a:ln w="9525" cmpd="sng">
          <a:solidFill>
            <a:schemeClr val="bg1"/>
          </a:solidFill>
        </a:ln>
      </xdr:spPr>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lgn="ctr"/>
          <a:fld id="{6A0B7ACD-3E16-46DC-A44C-89F3E70C7236}" type="TxLink">
            <a:rPr lang="en-US" sz="1800" b="1" i="0" u="none" strike="noStrike">
              <a:solidFill>
                <a:srgbClr val="000000"/>
              </a:solidFill>
              <a:latin typeface="Aptos Narrow"/>
              <a:ea typeface="+mn-ea"/>
              <a:cs typeface="+mn-cs"/>
            </a:rPr>
            <a:pPr marL="0" indent="0" algn="ctr"/>
            <a:t>14%</a:t>
          </a:fld>
          <a:endParaRPr lang="en-IN" sz="1800" b="1" i="0" u="none" strike="noStrike">
            <a:solidFill>
              <a:srgbClr val="000000"/>
            </a:solidFill>
            <a:latin typeface="Aptos Narrow"/>
            <a:ea typeface="+mn-ea"/>
            <a:cs typeface="+mn-cs"/>
          </a:endParaRPr>
        </a:p>
      </xdr:txBody>
    </xdr:sp>
    <xdr:clientData/>
  </xdr:twoCellAnchor>
  <xdr:twoCellAnchor>
    <xdr:from>
      <xdr:col>13</xdr:col>
      <xdr:colOff>200024</xdr:colOff>
      <xdr:row>7</xdr:row>
      <xdr:rowOff>93345</xdr:rowOff>
    </xdr:from>
    <xdr:to>
      <xdr:col>14</xdr:col>
      <xdr:colOff>381000</xdr:colOff>
      <xdr:row>9</xdr:row>
      <xdr:rowOff>1905</xdr:rowOff>
    </xdr:to>
    <xdr:sp macro="" textlink="'Pivots &amp; KPIs'!O11">
      <xdr:nvSpPr>
        <xdr:cNvPr id="552" name="TextBox 16">
          <a:extLst>
            <a:ext uri="{FF2B5EF4-FFF2-40B4-BE49-F238E27FC236}">
              <a16:creationId xmlns:a16="http://schemas.microsoft.com/office/drawing/2014/main" id="{9B221166-9CBD-4792-A422-56B02D8AD167}"/>
            </a:ext>
            <a:ext uri="{147F2762-F138-4A5C-976F-8EAC2B608ADB}">
              <a16:predDERef xmlns:a16="http://schemas.microsoft.com/office/drawing/2014/main" pred="{A111AA07-33A9-DF40-69C7-FA17E3F8A157}"/>
            </a:ext>
          </a:extLst>
        </xdr:cNvPr>
        <xdr:cNvSpPr txBox="1"/>
      </xdr:nvSpPr>
      <xdr:spPr>
        <a:xfrm>
          <a:off x="8124824" y="1373505"/>
          <a:ext cx="790576" cy="274320"/>
        </a:xfrm>
        <a:prstGeom prst="rect">
          <a:avLst/>
        </a:prstGeom>
        <a:solidFill>
          <a:schemeClr val="lt1"/>
        </a:solidFill>
        <a:ln w="9525" cmpd="sng">
          <a:solidFill>
            <a:schemeClr val="bg1"/>
          </a:solidFill>
        </a:ln>
      </xdr:spPr>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lgn="ctr"/>
          <a:fld id="{BBC4C7E9-DA7B-4B25-9DD1-491DEC38F9AB}" type="TxLink">
            <a:rPr lang="en-US" sz="1800" b="1" i="0" u="none" strike="noStrike">
              <a:solidFill>
                <a:srgbClr val="000000"/>
              </a:solidFill>
              <a:latin typeface="Aptos Narrow"/>
              <a:ea typeface="+mn-ea"/>
              <a:cs typeface="+mn-cs"/>
            </a:rPr>
            <a:pPr marL="0" indent="0" algn="ctr"/>
            <a:t>$6.57</a:t>
          </a:fld>
          <a:endParaRPr lang="en-IN" sz="1800" b="1" i="0" u="none" strike="noStrike">
            <a:solidFill>
              <a:srgbClr val="000000"/>
            </a:solidFill>
            <a:latin typeface="Aptos Narrow"/>
            <a:ea typeface="+mn-ea"/>
            <a:cs typeface="+mn-cs"/>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16</xdr:col>
      <xdr:colOff>457201</xdr:colOff>
      <xdr:row>0</xdr:row>
      <xdr:rowOff>0</xdr:rowOff>
    </xdr:from>
    <xdr:to>
      <xdr:col>23</xdr:col>
      <xdr:colOff>320041</xdr:colOff>
      <xdr:row>10</xdr:row>
      <xdr:rowOff>167640</xdr:rowOff>
    </xdr:to>
    <xdr:graphicFrame macro="">
      <xdr:nvGraphicFramePr>
        <xdr:cNvPr id="2" name="Chart 3">
          <a:extLst>
            <a:ext uri="{FF2B5EF4-FFF2-40B4-BE49-F238E27FC236}">
              <a16:creationId xmlns:a16="http://schemas.microsoft.com/office/drawing/2014/main" id="{13C25895-B483-45AB-9FBF-F146B09203DF}"/>
            </a:ext>
            <a:ext uri="{147F2762-F138-4A5C-976F-8EAC2B608ADB}">
              <a16:predDERef xmlns:a16="http://schemas.microsoft.com/office/drawing/2014/main" pred="{80B94E7E-E4C6-4A29-851B-B3CACD705B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422910</xdr:colOff>
      <xdr:row>0</xdr:row>
      <xdr:rowOff>7620</xdr:rowOff>
    </xdr:from>
    <xdr:to>
      <xdr:col>30</xdr:col>
      <xdr:colOff>192405</xdr:colOff>
      <xdr:row>10</xdr:row>
      <xdr:rowOff>160020</xdr:rowOff>
    </xdr:to>
    <xdr:graphicFrame macro="">
      <xdr:nvGraphicFramePr>
        <xdr:cNvPr id="3" name="Chart 4">
          <a:extLst>
            <a:ext uri="{FF2B5EF4-FFF2-40B4-BE49-F238E27FC236}">
              <a16:creationId xmlns:a16="http://schemas.microsoft.com/office/drawing/2014/main" id="{8FAF13B9-7119-4CA8-8725-EE8BE53EAC09}"/>
            </a:ext>
            <a:ext uri="{147F2762-F138-4A5C-976F-8EAC2B608ADB}">
              <a16:predDERef xmlns:a16="http://schemas.microsoft.com/office/drawing/2014/main" pred="{13C25895-B483-45AB-9FBF-F146B09203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30</xdr:col>
      <xdr:colOff>234315</xdr:colOff>
      <xdr:row>0</xdr:row>
      <xdr:rowOff>0</xdr:rowOff>
    </xdr:from>
    <xdr:to>
      <xdr:col>37</xdr:col>
      <xdr:colOff>89535</xdr:colOff>
      <xdr:row>11</xdr:row>
      <xdr:rowOff>9525</xdr:rowOff>
    </xdr:to>
    <xdr:graphicFrame macro="">
      <xdr:nvGraphicFramePr>
        <xdr:cNvPr id="4" name="Chart 4">
          <a:extLst>
            <a:ext uri="{FF2B5EF4-FFF2-40B4-BE49-F238E27FC236}">
              <a16:creationId xmlns:a16="http://schemas.microsoft.com/office/drawing/2014/main" id="{B640B45C-183E-4590-857F-A6C85427B2FD}"/>
            </a:ext>
            <a:ext uri="{147F2762-F138-4A5C-976F-8EAC2B608ADB}">
              <a16:predDERef xmlns:a16="http://schemas.microsoft.com/office/drawing/2014/main" pred="{8FAF13B9-7119-4CA8-8725-EE8BE53EAC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15241</xdr:colOff>
      <xdr:row>11</xdr:row>
      <xdr:rowOff>99060</xdr:rowOff>
    </xdr:from>
    <xdr:to>
      <xdr:col>23</xdr:col>
      <xdr:colOff>7621</xdr:colOff>
      <xdr:row>23</xdr:row>
      <xdr:rowOff>220980</xdr:rowOff>
    </xdr:to>
    <xdr:graphicFrame macro="">
      <xdr:nvGraphicFramePr>
        <xdr:cNvPr id="7" name="Chart 159">
          <a:extLst>
            <a:ext uri="{FF2B5EF4-FFF2-40B4-BE49-F238E27FC236}">
              <a16:creationId xmlns:a16="http://schemas.microsoft.com/office/drawing/2014/main" id="{CC6C3DED-9CB7-46D6-8913-81E63A435615}"/>
            </a:ext>
            <a:ext uri="{147F2762-F138-4A5C-976F-8EAC2B608ADB}">
              <a16:predDERef xmlns:a16="http://schemas.microsoft.com/office/drawing/2014/main" pred="{B640B45C-183E-4590-857F-A6C85427B2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78.869833217592" createdVersion="8" refreshedVersion="8" minRefreshableVersion="3" recordCount="100" xr:uid="{BDFD3095-3CDD-47FC-A901-43169FF9073D}">
  <cacheSource type="worksheet">
    <worksheetSource name="Table1"/>
  </cacheSource>
  <cacheFields count="19">
    <cacheField name="Date" numFmtId="14">
      <sharedItems containsSemiMixedTypes="0" containsNonDate="0" containsDate="1" containsString="0" minDate="2023-01-01T00:00:00" maxDate="2024-11-25T00:00:00"/>
    </cacheField>
    <cacheField name="Region" numFmtId="0">
      <sharedItems count="4">
        <s v="North"/>
        <s v="East"/>
        <s v="South"/>
        <s v="West"/>
      </sharedItems>
    </cacheField>
    <cacheField name="Product" numFmtId="0">
      <sharedItems count="4">
        <s v="Product C"/>
        <s v="Product D"/>
        <s v="Product B"/>
        <s v="Product A"/>
      </sharedItems>
    </cacheField>
    <cacheField name="Channel" numFmtId="0">
      <sharedItems count="4">
        <s v="Email"/>
        <s v="Search Engine"/>
        <s v="Social Media"/>
        <s v="Direct Mail"/>
      </sharedItems>
    </cacheField>
    <cacheField name="Quarter" numFmtId="0">
      <sharedItems count="4">
        <s v="Q4"/>
        <s v="Q2"/>
        <s v="Q1"/>
        <s v="Q3"/>
      </sharedItems>
    </cacheField>
    <cacheField name="Spent" numFmtId="0">
      <sharedItems containsSemiMixedTypes="0" containsString="0" containsNumber="1" minValue="524.51" maxValue="4941.79"/>
    </cacheField>
    <cacheField name="Impressions-" numFmtId="0">
      <sharedItems containsSemiMixedTypes="0" containsString="0" containsNumber="1" containsInteger="1" minValue="1114" maxValue="9961"/>
    </cacheField>
    <cacheField name="Clicks-" numFmtId="0">
      <sharedItems containsSemiMixedTypes="0" containsString="0" containsNumber="1" containsInteger="1" minValue="120" maxValue="985"/>
    </cacheField>
    <cacheField name="Conversions-" numFmtId="0">
      <sharedItems containsSemiMixedTypes="0" containsString="0" containsNumber="1" containsInteger="1" minValue="1" maxValue="50"/>
    </cacheField>
    <cacheField name="Revenue-" numFmtId="0">
      <sharedItems containsSemiMixedTypes="0" containsString="0" containsNumber="1" minValue="1008.27" maxValue="19911.599999999999"/>
    </cacheField>
    <cacheField name="CTR-" numFmtId="0">
      <sharedItems containsSemiMixedTypes="0" containsString="0" containsNumber="1" minValue="1.6899999999999998E-2" maxValue="0.8276"/>
    </cacheField>
    <cacheField name="CPC-" numFmtId="0">
      <sharedItems containsSemiMixedTypes="0" containsString="0" containsNumber="1" minValue="0.61" maxValue="35.049999999999997"/>
    </cacheField>
    <cacheField name="ROI-" numFmtId="0">
      <sharedItems containsSemiMixedTypes="0" containsString="0" containsNumber="1" minValue="-0.77749999999999997" maxValue="24.244399999999999"/>
    </cacheField>
    <cacheField name="Conversion Rate " numFmtId="9">
      <sharedItems containsSemiMixedTypes="0" containsString="0" containsNumber="1" minValue="2.2753128555176336E-3" maxValue="0.26950354609929078"/>
    </cacheField>
    <cacheField name="Conversion Rate 2" numFmtId="0">
      <sharedItems containsSemiMixedTypes="0" containsString="0" containsNumber="1" minValue="0.22753128555176336" maxValue="26.950354609929079"/>
    </cacheField>
    <cacheField name="Revenue/ $ Spent" numFmtId="164">
      <sharedItems containsSemiMixedTypes="0" containsString="0" containsNumber="1" minValue="3.9916314247564531" maxValue="3.9916314247564531"/>
    </cacheField>
    <cacheField name="Profit" numFmtId="164">
      <sharedItems containsSemiMixedTypes="0" containsString="0" containsNumber="1" minValue="-3524.0800000000004" maxValue="17407.66"/>
    </cacheField>
    <cacheField name="Month " numFmtId="0">
      <sharedItems count="12">
        <s v="Jan"/>
        <s v="Feb"/>
        <s v="Mar"/>
        <s v="Apr"/>
        <s v="May"/>
        <s v="Jun"/>
        <s v="Jul"/>
        <s v="Aug"/>
        <s v="Sep"/>
        <s v="Oct"/>
        <s v="Nov"/>
        <s v="Dec"/>
      </sharedItems>
    </cacheField>
    <cacheField name="Year" numFmtId="0">
      <sharedItems count="2">
        <s v="2023"/>
        <s v="2024"/>
      </sharedItems>
    </cacheField>
  </cacheFields>
  <extLst>
    <ext xmlns:x14="http://schemas.microsoft.com/office/spreadsheetml/2009/9/main" uri="{725AE2AE-9491-48be-B2B4-4EB974FC3084}">
      <x14:pivotCacheDefinition pivotCacheId="14025818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d v="2023-01-01T00:00:00"/>
    <x v="0"/>
    <x v="0"/>
    <x v="0"/>
    <x v="0"/>
    <n v="2410.89"/>
    <n v="4106"/>
    <n v="793"/>
    <n v="22"/>
    <n v="15214.74"/>
    <n v="0.19309999999999999"/>
    <n v="3.04"/>
    <n v="5.3108000000000004"/>
    <n v="2.7742749054224466E-2"/>
    <n v="2.7742749054224465"/>
    <n v="3.9916314247564531"/>
    <n v="12803.85"/>
    <x v="0"/>
    <x v="0"/>
  </r>
  <r>
    <d v="2023-01-08T00:00:00"/>
    <x v="1"/>
    <x v="0"/>
    <x v="1"/>
    <x v="0"/>
    <n v="798.87"/>
    <n v="8338"/>
    <n v="296"/>
    <n v="21"/>
    <n v="7830.21"/>
    <n v="3.5499999999999997E-2"/>
    <n v="2.7"/>
    <n v="8.8016000000000005"/>
    <n v="7.0945945945945943E-2"/>
    <n v="7.0945945945945947"/>
    <n v="3.9916314247564531"/>
    <n v="7031.34"/>
    <x v="0"/>
    <x v="0"/>
  </r>
  <r>
    <d v="2023-01-15T00:00:00"/>
    <x v="0"/>
    <x v="1"/>
    <x v="1"/>
    <x v="1"/>
    <n v="3711.28"/>
    <n v="1309"/>
    <n v="202"/>
    <n v="24"/>
    <n v="16070.27"/>
    <n v="0.15429999999999999"/>
    <n v="18.37"/>
    <n v="3.3300999999999998"/>
    <n v="0.11881188118811881"/>
    <n v="11.881188118811881"/>
    <n v="3.9916314247564531"/>
    <n v="12358.99"/>
    <x v="0"/>
    <x v="0"/>
  </r>
  <r>
    <d v="2023-01-22T00:00:00"/>
    <x v="0"/>
    <x v="2"/>
    <x v="2"/>
    <x v="2"/>
    <n v="936.03"/>
    <n v="2055"/>
    <n v="377"/>
    <n v="36"/>
    <n v="5877.33"/>
    <n v="0.1835"/>
    <n v="2.48"/>
    <n v="5.2789999999999999"/>
    <n v="9.5490716180371346E-2"/>
    <n v="9.549071618037134"/>
    <n v="3.9916314247564531"/>
    <n v="4941.3"/>
    <x v="0"/>
    <x v="0"/>
  </r>
  <r>
    <d v="2023-01-29T00:00:00"/>
    <x v="2"/>
    <x v="3"/>
    <x v="1"/>
    <x v="0"/>
    <n v="3314.53"/>
    <n v="9831"/>
    <n v="960"/>
    <n v="23"/>
    <n v="12804.25"/>
    <n v="9.7699999999999995E-2"/>
    <n v="3.45"/>
    <n v="2.8631000000000002"/>
    <n v="2.3958333333333335E-2"/>
    <n v="2.3958333333333335"/>
    <n v="3.9916314247564531"/>
    <n v="9489.7199999999993"/>
    <x v="0"/>
    <x v="0"/>
  </r>
  <r>
    <d v="2023-02-05T00:00:00"/>
    <x v="1"/>
    <x v="1"/>
    <x v="1"/>
    <x v="0"/>
    <n v="2157.1799999999998"/>
    <n v="3158"/>
    <n v="565"/>
    <n v="6"/>
    <n v="12393.81"/>
    <n v="0.1789"/>
    <n v="3.82"/>
    <n v="4.7454000000000001"/>
    <n v="1.0619469026548672E-2"/>
    <n v="1.0619469026548671"/>
    <n v="3.9916314247564531"/>
    <n v="10236.629999999999"/>
    <x v="1"/>
    <x v="0"/>
  </r>
  <r>
    <d v="2023-02-12T00:00:00"/>
    <x v="1"/>
    <x v="2"/>
    <x v="0"/>
    <x v="2"/>
    <n v="4532.3500000000004"/>
    <n v="9961"/>
    <n v="452"/>
    <n v="4"/>
    <n v="1008.27"/>
    <n v="4.5400000000000003E-2"/>
    <n v="10.029999999999999"/>
    <n v="-0.77749999999999997"/>
    <n v="8.8495575221238937E-3"/>
    <n v="0.88495575221238942"/>
    <n v="3.9916314247564531"/>
    <n v="-3524.0800000000004"/>
    <x v="1"/>
    <x v="0"/>
  </r>
  <r>
    <d v="2023-02-19T00:00:00"/>
    <x v="1"/>
    <x v="2"/>
    <x v="2"/>
    <x v="3"/>
    <n v="2474.37"/>
    <n v="1576"/>
    <n v="157"/>
    <n v="21"/>
    <n v="17798.03"/>
    <n v="9.9599999999999994E-2"/>
    <n v="15.76"/>
    <n v="6.1929999999999996"/>
    <n v="0.13375796178343949"/>
    <n v="13.375796178343949"/>
    <n v="3.9916314247564531"/>
    <n v="15323.66"/>
    <x v="1"/>
    <x v="0"/>
  </r>
  <r>
    <d v="2023-02-26T00:00:00"/>
    <x v="1"/>
    <x v="1"/>
    <x v="0"/>
    <x v="2"/>
    <n v="2062.96"/>
    <n v="5067"/>
    <n v="800"/>
    <n v="7"/>
    <n v="16555.2"/>
    <n v="0.15790000000000001"/>
    <n v="2.58"/>
    <n v="7.0250000000000004"/>
    <n v="8.7500000000000008E-3"/>
    <n v="0.87500000000000011"/>
    <n v="3.9916314247564531"/>
    <n v="14492.240000000002"/>
    <x v="1"/>
    <x v="0"/>
  </r>
  <r>
    <d v="2023-03-05T00:00:00"/>
    <x v="3"/>
    <x v="3"/>
    <x v="0"/>
    <x v="3"/>
    <n v="2981.54"/>
    <n v="4023"/>
    <n v="926"/>
    <n v="18"/>
    <n v="18196.919999999998"/>
    <n v="0.23019999999999999"/>
    <n v="3.22"/>
    <n v="5.1032000000000002"/>
    <n v="1.9438444924406047E-2"/>
    <n v="1.9438444924406046"/>
    <n v="3.9916314247564531"/>
    <n v="15215.379999999997"/>
    <x v="2"/>
    <x v="0"/>
  </r>
  <r>
    <d v="2023-03-12T00:00:00"/>
    <x v="3"/>
    <x v="0"/>
    <x v="2"/>
    <x v="1"/>
    <n v="4756.3999999999996"/>
    <n v="3459"/>
    <n v="469"/>
    <n v="46"/>
    <n v="14724.5"/>
    <n v="0.1356"/>
    <n v="10.14"/>
    <n v="2.0956999999999999"/>
    <n v="9.8081023454157784E-2"/>
    <n v="9.8081023454157776"/>
    <n v="3.9916314247564531"/>
    <n v="9968.1"/>
    <x v="2"/>
    <x v="0"/>
  </r>
  <r>
    <d v="2023-03-19T00:00:00"/>
    <x v="1"/>
    <x v="3"/>
    <x v="0"/>
    <x v="3"/>
    <n v="1176.82"/>
    <n v="3294"/>
    <n v="342"/>
    <n v="11"/>
    <n v="9216.3799999999992"/>
    <n v="0.1038"/>
    <n v="3.44"/>
    <n v="6.8315999999999999"/>
    <n v="3.2163742690058478E-2"/>
    <n v="3.2163742690058479"/>
    <n v="3.9916314247564531"/>
    <n v="8039.5599999999995"/>
    <x v="2"/>
    <x v="0"/>
  </r>
  <r>
    <d v="2023-03-26T00:00:00"/>
    <x v="0"/>
    <x v="2"/>
    <x v="1"/>
    <x v="2"/>
    <n v="658.38"/>
    <n v="3488"/>
    <n v="663"/>
    <n v="21"/>
    <n v="11489.96"/>
    <n v="0.19009999999999999"/>
    <n v="0.99"/>
    <n v="16.451899999999998"/>
    <n v="3.1674208144796379E-2"/>
    <n v="3.1674208144796379"/>
    <n v="3.9916314247564531"/>
    <n v="10831.58"/>
    <x v="2"/>
    <x v="0"/>
  </r>
  <r>
    <d v="2023-04-02T00:00:00"/>
    <x v="0"/>
    <x v="1"/>
    <x v="1"/>
    <x v="2"/>
    <n v="1467.26"/>
    <n v="5269"/>
    <n v="120"/>
    <n v="19"/>
    <n v="14600.4"/>
    <n v="2.2800000000000001E-2"/>
    <n v="12.23"/>
    <n v="8.9507999999999992"/>
    <n v="0.15833333333333333"/>
    <n v="15.833333333333332"/>
    <n v="3.9916314247564531"/>
    <n v="13133.14"/>
    <x v="3"/>
    <x v="0"/>
  </r>
  <r>
    <d v="2023-04-09T00:00:00"/>
    <x v="3"/>
    <x v="1"/>
    <x v="2"/>
    <x v="3"/>
    <n v="1961.58"/>
    <n v="3155"/>
    <n v="319"/>
    <n v="12"/>
    <n v="1122.8599999999999"/>
    <n v="0.1011"/>
    <n v="6.15"/>
    <n v="-0.42759999999999998"/>
    <n v="3.7617554858934171E-2"/>
    <n v="3.761755485893417"/>
    <n v="3.9916314247564531"/>
    <n v="-838.72"/>
    <x v="3"/>
    <x v="0"/>
  </r>
  <r>
    <d v="2023-04-16T00:00:00"/>
    <x v="1"/>
    <x v="0"/>
    <x v="3"/>
    <x v="3"/>
    <n v="2191.96"/>
    <n v="9477"/>
    <n v="898"/>
    <n v="42"/>
    <n v="18187.47"/>
    <n v="9.4799999999999995E-2"/>
    <n v="2.44"/>
    <n v="7.2973999999999997"/>
    <n v="4.6770601336302897E-2"/>
    <n v="4.6770601336302899"/>
    <n v="3.9916314247564531"/>
    <n v="15995.510000000002"/>
    <x v="3"/>
    <x v="0"/>
  </r>
  <r>
    <d v="2023-04-23T00:00:00"/>
    <x v="2"/>
    <x v="0"/>
    <x v="1"/>
    <x v="1"/>
    <n v="2426.42"/>
    <n v="6635"/>
    <n v="822"/>
    <n v="14"/>
    <n v="12020.84"/>
    <n v="0.1239"/>
    <n v="2.95"/>
    <n v="3.9540999999999999"/>
    <n v="1.7031630170316302E-2"/>
    <n v="1.7031630170316301"/>
    <n v="3.9916314247564531"/>
    <n v="9594.42"/>
    <x v="3"/>
    <x v="0"/>
  </r>
  <r>
    <d v="2023-04-30T00:00:00"/>
    <x v="3"/>
    <x v="2"/>
    <x v="1"/>
    <x v="1"/>
    <n v="3372.11"/>
    <n v="6859"/>
    <n v="702"/>
    <n v="29"/>
    <n v="8958.7199999999993"/>
    <n v="0.1023"/>
    <n v="4.8"/>
    <n v="1.6567000000000001"/>
    <n v="4.1310541310541307E-2"/>
    <n v="4.1310541310541309"/>
    <n v="3.9916314247564531"/>
    <n v="5586.6099999999988"/>
    <x v="3"/>
    <x v="0"/>
  </r>
  <r>
    <d v="2023-05-07T00:00:00"/>
    <x v="1"/>
    <x v="1"/>
    <x v="3"/>
    <x v="1"/>
    <n v="2947.59"/>
    <n v="6421"/>
    <n v="409"/>
    <n v="32"/>
    <n v="13245.18"/>
    <n v="6.3700000000000007E-2"/>
    <n v="7.21"/>
    <n v="3.4935999999999998"/>
    <n v="7.823960880195599E-2"/>
    <n v="7.8239608801955987"/>
    <n v="3.9916314247564531"/>
    <n v="10297.59"/>
    <x v="4"/>
    <x v="0"/>
  </r>
  <r>
    <d v="2023-05-14T00:00:00"/>
    <x v="3"/>
    <x v="3"/>
    <x v="1"/>
    <x v="0"/>
    <n v="1233.05"/>
    <n v="6000"/>
    <n v="870"/>
    <n v="19"/>
    <n v="17779.580000000002"/>
    <n v="0.14499999999999999"/>
    <n v="1.42"/>
    <n v="13.4192"/>
    <n v="2.1839080459770115E-2"/>
    <n v="2.1839080459770113"/>
    <n v="3.9916314247564531"/>
    <n v="16546.530000000002"/>
    <x v="4"/>
    <x v="0"/>
  </r>
  <r>
    <d v="2023-05-21T00:00:00"/>
    <x v="2"/>
    <x v="2"/>
    <x v="2"/>
    <x v="2"/>
    <n v="1719.2"/>
    <n v="5011"/>
    <n v="357"/>
    <n v="7"/>
    <n v="11587.55"/>
    <n v="7.1199999999999999E-2"/>
    <n v="4.82"/>
    <n v="5.7401"/>
    <n v="1.9607843137254902E-2"/>
    <n v="1.9607843137254901"/>
    <n v="3.9916314247564531"/>
    <n v="9868.3499999999985"/>
    <x v="4"/>
    <x v="0"/>
  </r>
  <r>
    <d v="2023-05-28T00:00:00"/>
    <x v="0"/>
    <x v="3"/>
    <x v="1"/>
    <x v="1"/>
    <n v="1358.97"/>
    <n v="8342"/>
    <n v="147"/>
    <n v="37"/>
    <n v="3523.57"/>
    <n v="1.7600000000000001E-2"/>
    <n v="9.24"/>
    <n v="1.5928"/>
    <n v="0.25170068027210885"/>
    <n v="25.170068027210885"/>
    <n v="3.9916314247564531"/>
    <n v="2164.6000000000004"/>
    <x v="4"/>
    <x v="0"/>
  </r>
  <r>
    <d v="2023-06-04T00:00:00"/>
    <x v="0"/>
    <x v="1"/>
    <x v="2"/>
    <x v="0"/>
    <n v="2519.04"/>
    <n v="7619"/>
    <n v="420"/>
    <n v="23"/>
    <n v="9579.4500000000007"/>
    <n v="5.5100000000000003E-2"/>
    <n v="6"/>
    <n v="2.8028"/>
    <n v="5.4761904761904762E-2"/>
    <n v="5.4761904761904763"/>
    <n v="3.9916314247564531"/>
    <n v="7060.4100000000008"/>
    <x v="5"/>
    <x v="0"/>
  </r>
  <r>
    <d v="2023-06-11T00:00:00"/>
    <x v="0"/>
    <x v="0"/>
    <x v="1"/>
    <x v="0"/>
    <n v="3079.59"/>
    <n v="9537"/>
    <n v="161"/>
    <n v="29"/>
    <n v="18035.98"/>
    <n v="1.6899999999999998E-2"/>
    <n v="19.13"/>
    <n v="4.8566000000000003"/>
    <n v="0.18012422360248448"/>
    <n v="18.012422360248447"/>
    <n v="3.9916314247564531"/>
    <n v="14956.39"/>
    <x v="5"/>
    <x v="0"/>
  </r>
  <r>
    <d v="2023-06-18T00:00:00"/>
    <x v="2"/>
    <x v="3"/>
    <x v="1"/>
    <x v="2"/>
    <n v="2529.77"/>
    <n v="5797"/>
    <n v="633"/>
    <n v="11"/>
    <n v="8063.26"/>
    <n v="0.10920000000000001"/>
    <n v="4"/>
    <n v="2.1873"/>
    <n v="1.7377567140600316E-2"/>
    <n v="1.7377567140600316"/>
    <n v="3.9916314247564531"/>
    <n v="5533.49"/>
    <x v="5"/>
    <x v="0"/>
  </r>
  <r>
    <d v="2023-06-25T00:00:00"/>
    <x v="0"/>
    <x v="0"/>
    <x v="0"/>
    <x v="1"/>
    <n v="3806.24"/>
    <n v="4862"/>
    <n v="777"/>
    <n v="6"/>
    <n v="16594.68"/>
    <n v="0.1598"/>
    <n v="4.9000000000000004"/>
    <n v="3.3599000000000001"/>
    <n v="7.7220077220077222E-3"/>
    <n v="0.77220077220077221"/>
    <n v="3.9916314247564531"/>
    <n v="12788.44"/>
    <x v="5"/>
    <x v="0"/>
  </r>
  <r>
    <d v="2023-07-02T00:00:00"/>
    <x v="2"/>
    <x v="1"/>
    <x v="2"/>
    <x v="1"/>
    <n v="4578.68"/>
    <n v="9761"/>
    <n v="960"/>
    <n v="43"/>
    <n v="7580.12"/>
    <n v="9.8400000000000001E-2"/>
    <n v="4.7699999999999996"/>
    <n v="0.65549999999999997"/>
    <n v="4.4791666666666667E-2"/>
    <n v="4.479166666666667"/>
    <n v="3.9916314247564531"/>
    <n v="3001.4399999999996"/>
    <x v="6"/>
    <x v="0"/>
  </r>
  <r>
    <d v="2023-07-09T00:00:00"/>
    <x v="3"/>
    <x v="1"/>
    <x v="0"/>
    <x v="3"/>
    <n v="969.39"/>
    <n v="8563"/>
    <n v="879"/>
    <n v="2"/>
    <n v="10178.950000000001"/>
    <n v="0.1027"/>
    <n v="1.1000000000000001"/>
    <n v="9.5004000000000008"/>
    <n v="2.2753128555176336E-3"/>
    <n v="0.22753128555176336"/>
    <n v="3.9916314247564531"/>
    <n v="9209.5600000000013"/>
    <x v="6"/>
    <x v="0"/>
  </r>
  <r>
    <d v="2023-07-16T00:00:00"/>
    <x v="2"/>
    <x v="3"/>
    <x v="0"/>
    <x v="2"/>
    <n v="524.51"/>
    <n v="8309"/>
    <n v="818"/>
    <n v="27"/>
    <n v="11469.56"/>
    <n v="9.8400000000000001E-2"/>
    <n v="0.64"/>
    <n v="20.8672"/>
    <n v="3.3007334963325183E-2"/>
    <n v="3.3007334963325183"/>
    <n v="3.9916314247564531"/>
    <n v="10945.05"/>
    <x v="6"/>
    <x v="0"/>
  </r>
  <r>
    <d v="2023-07-23T00:00:00"/>
    <x v="1"/>
    <x v="0"/>
    <x v="1"/>
    <x v="1"/>
    <n v="882.8"/>
    <n v="6439"/>
    <n v="262"/>
    <n v="36"/>
    <n v="9695.8799999999992"/>
    <n v="4.07E-2"/>
    <n v="3.37"/>
    <n v="9.9831000000000003"/>
    <n v="0.13740458015267176"/>
    <n v="13.740458015267176"/>
    <n v="3.9916314247564531"/>
    <n v="8813.08"/>
    <x v="6"/>
    <x v="0"/>
  </r>
  <r>
    <d v="2023-07-30T00:00:00"/>
    <x v="3"/>
    <x v="3"/>
    <x v="3"/>
    <x v="3"/>
    <n v="4887.33"/>
    <n v="5230"/>
    <n v="241"/>
    <n v="27"/>
    <n v="5105.7"/>
    <n v="4.6100000000000002E-2"/>
    <n v="20.28"/>
    <n v="4.4699999999999997E-2"/>
    <n v="0.11203319502074689"/>
    <n v="11.20331950207469"/>
    <n v="3.9916314247564531"/>
    <n v="218.36999999999989"/>
    <x v="6"/>
    <x v="0"/>
  </r>
  <r>
    <d v="2023-08-06T00:00:00"/>
    <x v="2"/>
    <x v="1"/>
    <x v="1"/>
    <x v="0"/>
    <n v="1475"/>
    <n v="6477"/>
    <n v="361"/>
    <n v="28"/>
    <n v="5619.49"/>
    <n v="5.57E-2"/>
    <n v="4.09"/>
    <n v="2.8098000000000001"/>
    <n v="7.7562326869806089E-2"/>
    <n v="7.7562326869806091"/>
    <n v="3.9916314247564531"/>
    <n v="4144.49"/>
    <x v="7"/>
    <x v="0"/>
  </r>
  <r>
    <d v="2023-08-13T00:00:00"/>
    <x v="3"/>
    <x v="0"/>
    <x v="1"/>
    <x v="1"/>
    <n v="2653.89"/>
    <n v="8129"/>
    <n v="677"/>
    <n v="20"/>
    <n v="13651.72"/>
    <n v="8.3299999999999999E-2"/>
    <n v="3.92"/>
    <n v="4.1440000000000001"/>
    <n v="2.9542097488921712E-2"/>
    <n v="2.954209748892171"/>
    <n v="3.9916314247564531"/>
    <n v="10997.83"/>
    <x v="7"/>
    <x v="0"/>
  </r>
  <r>
    <d v="2023-08-20T00:00:00"/>
    <x v="1"/>
    <x v="3"/>
    <x v="2"/>
    <x v="3"/>
    <n v="3283.84"/>
    <n v="5414"/>
    <n v="643"/>
    <n v="4"/>
    <n v="19911.599999999999"/>
    <n v="0.1188"/>
    <n v="5.1100000000000003"/>
    <n v="5.0635000000000003"/>
    <n v="6.2208398133748056E-3"/>
    <n v="0.62208398133748055"/>
    <n v="3.9916314247564531"/>
    <n v="16627.759999999998"/>
    <x v="7"/>
    <x v="0"/>
  </r>
  <r>
    <d v="2023-08-27T00:00:00"/>
    <x v="3"/>
    <x v="2"/>
    <x v="0"/>
    <x v="3"/>
    <n v="630.86"/>
    <n v="9141"/>
    <n v="207"/>
    <n v="32"/>
    <n v="15580.93"/>
    <n v="2.2599999999999999E-2"/>
    <n v="3.05"/>
    <n v="23.697900000000001"/>
    <n v="0.15458937198067632"/>
    <n v="15.458937198067632"/>
    <n v="3.9916314247564531"/>
    <n v="14950.07"/>
    <x v="7"/>
    <x v="0"/>
  </r>
  <r>
    <d v="2023-09-03T00:00:00"/>
    <x v="1"/>
    <x v="3"/>
    <x v="0"/>
    <x v="1"/>
    <n v="4683.8999999999996"/>
    <n v="4693"/>
    <n v="553"/>
    <n v="14"/>
    <n v="15632.65"/>
    <n v="0.1178"/>
    <n v="8.4700000000000006"/>
    <n v="2.3374999999999999"/>
    <n v="2.5316455696202531E-2"/>
    <n v="2.5316455696202533"/>
    <n v="3.9916314247564531"/>
    <n v="10948.75"/>
    <x v="8"/>
    <x v="0"/>
  </r>
  <r>
    <d v="2023-09-10T00:00:00"/>
    <x v="0"/>
    <x v="0"/>
    <x v="0"/>
    <x v="1"/>
    <n v="4049.72"/>
    <n v="9585"/>
    <n v="860"/>
    <n v="20"/>
    <n v="3451.58"/>
    <n v="8.9700000000000002E-2"/>
    <n v="4.71"/>
    <n v="-0.1477"/>
    <n v="2.3255813953488372E-2"/>
    <n v="2.3255813953488373"/>
    <n v="3.9916314247564531"/>
    <n v="-598.13999999999987"/>
    <x v="8"/>
    <x v="0"/>
  </r>
  <r>
    <d v="2023-09-17T00:00:00"/>
    <x v="0"/>
    <x v="1"/>
    <x v="3"/>
    <x v="1"/>
    <n v="2760.36"/>
    <n v="5113"/>
    <n v="449"/>
    <n v="2"/>
    <n v="6173"/>
    <n v="8.7800000000000003E-2"/>
    <n v="6.15"/>
    <n v="1.2363"/>
    <n v="4.4543429844097994E-3"/>
    <n v="0.44543429844097993"/>
    <n v="3.9916314247564531"/>
    <n v="3412.64"/>
    <x v="8"/>
    <x v="0"/>
  </r>
  <r>
    <d v="2023-09-24T00:00:00"/>
    <x v="2"/>
    <x v="3"/>
    <x v="3"/>
    <x v="0"/>
    <n v="1712.71"/>
    <n v="2964"/>
    <n v="951"/>
    <n v="9"/>
    <n v="7700.25"/>
    <n v="0.32090000000000002"/>
    <n v="1.8"/>
    <n v="3.4958999999999998"/>
    <n v="9.4637223974763408E-3"/>
    <n v="0.94637223974763407"/>
    <n v="3.9916314247564531"/>
    <n v="5987.54"/>
    <x v="8"/>
    <x v="0"/>
  </r>
  <r>
    <d v="2023-10-01T00:00:00"/>
    <x v="3"/>
    <x v="1"/>
    <x v="2"/>
    <x v="3"/>
    <n v="1503.7"/>
    <n v="3793"/>
    <n v="595"/>
    <n v="19"/>
    <n v="13329.54"/>
    <n v="0.15690000000000001"/>
    <n v="2.5299999999999998"/>
    <n v="7.8644999999999996"/>
    <n v="3.1932773109243695E-2"/>
    <n v="3.1932773109243695"/>
    <n v="3.9916314247564531"/>
    <n v="11825.84"/>
    <x v="9"/>
    <x v="0"/>
  </r>
  <r>
    <d v="2023-10-08T00:00:00"/>
    <x v="0"/>
    <x v="0"/>
    <x v="0"/>
    <x v="2"/>
    <n v="4259.99"/>
    <n v="3130"/>
    <n v="719"/>
    <n v="12"/>
    <n v="11611.84"/>
    <n v="0.22969999999999999"/>
    <n v="5.92"/>
    <n v="1.7258"/>
    <n v="1.6689847009735744E-2"/>
    <n v="1.6689847009735743"/>
    <n v="3.9916314247564531"/>
    <n v="7351.85"/>
    <x v="9"/>
    <x v="0"/>
  </r>
  <r>
    <d v="2023-10-15T00:00:00"/>
    <x v="3"/>
    <x v="1"/>
    <x v="3"/>
    <x v="2"/>
    <n v="4860.17"/>
    <n v="9056"/>
    <n v="222"/>
    <n v="37"/>
    <n v="12814.42"/>
    <n v="2.4500000000000001E-2"/>
    <n v="21.89"/>
    <n v="1.6366000000000001"/>
    <n v="0.16666666666666666"/>
    <n v="16.666666666666664"/>
    <n v="3.9916314247564531"/>
    <n v="7954.25"/>
    <x v="9"/>
    <x v="0"/>
  </r>
  <r>
    <d v="2023-10-22T00:00:00"/>
    <x v="3"/>
    <x v="2"/>
    <x v="1"/>
    <x v="0"/>
    <n v="2365.17"/>
    <n v="8728"/>
    <n v="895"/>
    <n v="44"/>
    <n v="12869.36"/>
    <n v="0.10249999999999999"/>
    <n v="2.64"/>
    <n v="4.4412000000000003"/>
    <n v="4.9162011173184354E-2"/>
    <n v="4.916201117318435"/>
    <n v="3.9916314247564531"/>
    <n v="10504.19"/>
    <x v="9"/>
    <x v="0"/>
  </r>
  <r>
    <d v="2023-10-29T00:00:00"/>
    <x v="1"/>
    <x v="1"/>
    <x v="3"/>
    <x v="2"/>
    <n v="1957.63"/>
    <n v="6396"/>
    <n v="191"/>
    <n v="17"/>
    <n v="4503.55"/>
    <n v="2.9899999999999999E-2"/>
    <n v="10.25"/>
    <n v="1.3005"/>
    <n v="8.9005235602094238E-2"/>
    <n v="8.9005235602094235"/>
    <n v="3.9916314247564531"/>
    <n v="2545.92"/>
    <x v="9"/>
    <x v="0"/>
  </r>
  <r>
    <d v="2023-11-05T00:00:00"/>
    <x v="3"/>
    <x v="0"/>
    <x v="2"/>
    <x v="3"/>
    <n v="4693.6899999999996"/>
    <n v="1612"/>
    <n v="254"/>
    <n v="28"/>
    <n v="12889.41"/>
    <n v="0.15759999999999999"/>
    <n v="18.48"/>
    <n v="1.7461"/>
    <n v="0.11023622047244094"/>
    <n v="11.023622047244094"/>
    <n v="3.9916314247564531"/>
    <n v="8195.7200000000012"/>
    <x v="10"/>
    <x v="0"/>
  </r>
  <r>
    <d v="2023-11-12T00:00:00"/>
    <x v="3"/>
    <x v="3"/>
    <x v="0"/>
    <x v="0"/>
    <n v="3325.1"/>
    <n v="7223"/>
    <n v="985"/>
    <n v="22"/>
    <n v="3463.67"/>
    <n v="0.13639999999999999"/>
    <n v="3.38"/>
    <n v="4.1700000000000001E-2"/>
    <n v="2.2335025380710659E-2"/>
    <n v="2.233502538071066"/>
    <n v="3.9916314247564531"/>
    <n v="138.57000000000016"/>
    <x v="10"/>
    <x v="0"/>
  </r>
  <r>
    <d v="2023-11-19T00:00:00"/>
    <x v="1"/>
    <x v="0"/>
    <x v="2"/>
    <x v="3"/>
    <n v="688.4"/>
    <n v="4477"/>
    <n v="205"/>
    <n v="38"/>
    <n v="17378.22"/>
    <n v="4.58E-2"/>
    <n v="3.36"/>
    <n v="24.244399999999999"/>
    <n v="0.18536585365853658"/>
    <n v="18.536585365853657"/>
    <n v="3.9916314247564531"/>
    <n v="16689.82"/>
    <x v="10"/>
    <x v="0"/>
  </r>
  <r>
    <d v="2023-11-26T00:00:00"/>
    <x v="3"/>
    <x v="3"/>
    <x v="0"/>
    <x v="0"/>
    <n v="2088.39"/>
    <n v="2859"/>
    <n v="933"/>
    <n v="44"/>
    <n v="4436.96"/>
    <n v="0.32629999999999998"/>
    <n v="2.2400000000000002"/>
    <n v="1.1246"/>
    <n v="4.7159699892818867E-2"/>
    <n v="4.7159699892818869"/>
    <n v="3.9916314247564531"/>
    <n v="2348.5700000000002"/>
    <x v="10"/>
    <x v="0"/>
  </r>
  <r>
    <d v="2023-12-03T00:00:00"/>
    <x v="0"/>
    <x v="2"/>
    <x v="0"/>
    <x v="2"/>
    <n v="4341.92"/>
    <n v="7948"/>
    <n v="208"/>
    <n v="49"/>
    <n v="5957.79"/>
    <n v="2.6200000000000001E-2"/>
    <n v="20.87"/>
    <n v="0.37219999999999998"/>
    <n v="0.23557692307692307"/>
    <n v="23.557692307692307"/>
    <n v="3.9916314247564531"/>
    <n v="1615.87"/>
    <x v="11"/>
    <x v="0"/>
  </r>
  <r>
    <d v="2023-12-10T00:00:00"/>
    <x v="2"/>
    <x v="3"/>
    <x v="2"/>
    <x v="2"/>
    <n v="3211.52"/>
    <n v="7790"/>
    <n v="886"/>
    <n v="41"/>
    <n v="7313.16"/>
    <n v="0.1137"/>
    <n v="3.62"/>
    <n v="1.2771999999999999"/>
    <n v="4.6275395033860044E-2"/>
    <n v="4.6275395033860045"/>
    <n v="3.9916314247564531"/>
    <n v="4101.6399999999994"/>
    <x v="11"/>
    <x v="0"/>
  </r>
  <r>
    <d v="2023-12-17T00:00:00"/>
    <x v="1"/>
    <x v="3"/>
    <x v="1"/>
    <x v="2"/>
    <n v="2828.02"/>
    <n v="5429"/>
    <n v="502"/>
    <n v="17"/>
    <n v="5384.96"/>
    <n v="9.2499999999999999E-2"/>
    <n v="5.63"/>
    <n v="0.90410000000000001"/>
    <n v="3.386454183266932E-2"/>
    <n v="3.3864541832669319"/>
    <n v="3.9916314247564531"/>
    <n v="2556.94"/>
    <x v="11"/>
    <x v="0"/>
  </r>
  <r>
    <d v="2023-12-24T00:00:00"/>
    <x v="0"/>
    <x v="1"/>
    <x v="3"/>
    <x v="3"/>
    <n v="1730.76"/>
    <n v="8184"/>
    <n v="821"/>
    <n v="33"/>
    <n v="7941.68"/>
    <n v="0.1003"/>
    <n v="2.11"/>
    <n v="3.5886"/>
    <n v="4.0194884287454324E-2"/>
    <n v="4.0194884287454329"/>
    <n v="3.9916314247564531"/>
    <n v="6210.92"/>
    <x v="11"/>
    <x v="0"/>
  </r>
  <r>
    <d v="2023-12-31T00:00:00"/>
    <x v="3"/>
    <x v="0"/>
    <x v="3"/>
    <x v="1"/>
    <n v="4735.9399999999996"/>
    <n v="5473"/>
    <n v="761"/>
    <n v="45"/>
    <n v="2492.35"/>
    <n v="0.13900000000000001"/>
    <n v="6.22"/>
    <n v="-0.47370000000000001"/>
    <n v="5.9132720105124839E-2"/>
    <n v="5.9132720105124843"/>
    <n v="3.9916314247564531"/>
    <n v="-2243.5899999999997"/>
    <x v="11"/>
    <x v="0"/>
  </r>
  <r>
    <d v="2024-01-07T00:00:00"/>
    <x v="3"/>
    <x v="3"/>
    <x v="3"/>
    <x v="3"/>
    <n v="1451.91"/>
    <n v="3573"/>
    <n v="592"/>
    <n v="28"/>
    <n v="18330.96"/>
    <n v="0.16569999999999999"/>
    <n v="2.4500000000000002"/>
    <n v="11.625400000000001"/>
    <n v="4.72972972972973E-2"/>
    <n v="4.7297297297297298"/>
    <n v="3.9916314247564531"/>
    <n v="16879.05"/>
    <x v="0"/>
    <x v="1"/>
  </r>
  <r>
    <d v="2024-01-14T00:00:00"/>
    <x v="1"/>
    <x v="2"/>
    <x v="0"/>
    <x v="3"/>
    <n v="1339.96"/>
    <n v="2205"/>
    <n v="849"/>
    <n v="16"/>
    <n v="8983.1200000000008"/>
    <n v="0.38500000000000001"/>
    <n v="1.58"/>
    <n v="5.7039999999999997"/>
    <n v="1.884570082449941E-2"/>
    <n v="1.884570082449941"/>
    <n v="3.9916314247564531"/>
    <n v="7643.1600000000008"/>
    <x v="0"/>
    <x v="1"/>
  </r>
  <r>
    <d v="2024-01-21T00:00:00"/>
    <x v="2"/>
    <x v="2"/>
    <x v="3"/>
    <x v="3"/>
    <n v="2387.81"/>
    <n v="4006"/>
    <n v="928"/>
    <n v="9"/>
    <n v="2618.35"/>
    <n v="0.23169999999999999"/>
    <n v="2.57"/>
    <n v="9.6500000000000002E-2"/>
    <n v="9.6982758620689658E-3"/>
    <n v="0.96982758620689657"/>
    <n v="3.9916314247564531"/>
    <n v="230.53999999999996"/>
    <x v="0"/>
    <x v="1"/>
  </r>
  <r>
    <d v="2024-01-28T00:00:00"/>
    <x v="2"/>
    <x v="1"/>
    <x v="1"/>
    <x v="0"/>
    <n v="2547.39"/>
    <n v="2428"/>
    <n v="514"/>
    <n v="31"/>
    <n v="2195.2600000000002"/>
    <n v="0.2117"/>
    <n v="4.96"/>
    <n v="-0.13819999999999999"/>
    <n v="6.0311284046692608E-2"/>
    <n v="6.0311284046692606"/>
    <n v="3.9916314247564531"/>
    <n v="-352.12999999999965"/>
    <x v="0"/>
    <x v="1"/>
  </r>
  <r>
    <d v="2024-02-04T00:00:00"/>
    <x v="1"/>
    <x v="2"/>
    <x v="0"/>
    <x v="2"/>
    <n v="3258.37"/>
    <n v="6139"/>
    <n v="843"/>
    <n v="34"/>
    <n v="16217.39"/>
    <n v="0.13730000000000001"/>
    <n v="3.87"/>
    <n v="3.9771000000000001"/>
    <n v="4.0332147093712932E-2"/>
    <n v="4.0332147093712933"/>
    <n v="3.9916314247564531"/>
    <n v="12959.02"/>
    <x v="1"/>
    <x v="1"/>
  </r>
  <r>
    <d v="2024-02-11T00:00:00"/>
    <x v="0"/>
    <x v="0"/>
    <x v="3"/>
    <x v="1"/>
    <n v="3091.34"/>
    <n v="4665"/>
    <n v="150"/>
    <n v="37"/>
    <n v="18223.16"/>
    <n v="3.2199999999999999E-2"/>
    <n v="20.61"/>
    <n v="4.8948999999999998"/>
    <n v="0.24666666666666667"/>
    <n v="24.666666666666668"/>
    <n v="3.9916314247564531"/>
    <n v="15131.82"/>
    <x v="1"/>
    <x v="1"/>
  </r>
  <r>
    <d v="2024-02-18T00:00:00"/>
    <x v="0"/>
    <x v="2"/>
    <x v="2"/>
    <x v="0"/>
    <n v="1761.01"/>
    <n v="5688"/>
    <n v="315"/>
    <n v="21"/>
    <n v="15528.62"/>
    <n v="5.5399999999999998E-2"/>
    <n v="5.59"/>
    <n v="7.8179999999999996"/>
    <n v="6.6666666666666666E-2"/>
    <n v="6.666666666666667"/>
    <n v="3.9916314247564531"/>
    <n v="13767.61"/>
    <x v="1"/>
    <x v="1"/>
  </r>
  <r>
    <d v="2024-02-25T00:00:00"/>
    <x v="2"/>
    <x v="2"/>
    <x v="2"/>
    <x v="0"/>
    <n v="2712.51"/>
    <n v="9938"/>
    <n v="859"/>
    <n v="2"/>
    <n v="4735.08"/>
    <n v="8.6400000000000005E-2"/>
    <n v="3.16"/>
    <n v="0.74560000000000004"/>
    <n v="2.3282887077997671E-3"/>
    <n v="0.23282887077997672"/>
    <n v="3.9916314247564531"/>
    <n v="2022.5699999999997"/>
    <x v="1"/>
    <x v="1"/>
  </r>
  <r>
    <d v="2024-03-03T00:00:00"/>
    <x v="3"/>
    <x v="0"/>
    <x v="2"/>
    <x v="2"/>
    <n v="1054.71"/>
    <n v="7302"/>
    <n v="670"/>
    <n v="28"/>
    <n v="15020.08"/>
    <n v="9.1800000000000007E-2"/>
    <n v="1.57"/>
    <n v="13.241"/>
    <n v="4.1791044776119404E-2"/>
    <n v="4.1791044776119408"/>
    <n v="3.9916314247564531"/>
    <n v="13965.369999999999"/>
    <x v="2"/>
    <x v="1"/>
  </r>
  <r>
    <d v="2024-03-10T00:00:00"/>
    <x v="2"/>
    <x v="0"/>
    <x v="2"/>
    <x v="3"/>
    <n v="4080.86"/>
    <n v="3958"/>
    <n v="336"/>
    <n v="20"/>
    <n v="16097.73"/>
    <n v="8.4900000000000003E-2"/>
    <n v="12.15"/>
    <n v="2.9447000000000001"/>
    <n v="5.9523809523809521E-2"/>
    <n v="5.9523809523809517"/>
    <n v="3.9916314247564531"/>
    <n v="12016.869999999999"/>
    <x v="2"/>
    <x v="1"/>
  </r>
  <r>
    <d v="2024-03-17T00:00:00"/>
    <x v="1"/>
    <x v="0"/>
    <x v="3"/>
    <x v="3"/>
    <n v="560.38"/>
    <n v="9916"/>
    <n v="916"/>
    <n v="50"/>
    <n v="9119.65"/>
    <n v="9.2399999999999996E-2"/>
    <n v="0.61"/>
    <n v="15.273999999999999"/>
    <n v="5.458515283842795E-2"/>
    <n v="5.4585152838427948"/>
    <n v="3.9916314247564531"/>
    <n v="8559.27"/>
    <x v="2"/>
    <x v="1"/>
  </r>
  <r>
    <d v="2024-03-24T00:00:00"/>
    <x v="1"/>
    <x v="2"/>
    <x v="0"/>
    <x v="1"/>
    <n v="4938.96"/>
    <n v="7697"/>
    <n v="224"/>
    <n v="4"/>
    <n v="8729.93"/>
    <n v="2.9100000000000001E-2"/>
    <n v="22.05"/>
    <n v="0.76759999999999995"/>
    <n v="1.7857142857142856E-2"/>
    <n v="1.7857142857142856"/>
    <n v="3.9916314247564531"/>
    <n v="3790.9700000000003"/>
    <x v="2"/>
    <x v="1"/>
  </r>
  <r>
    <d v="2024-03-31T00:00:00"/>
    <x v="3"/>
    <x v="0"/>
    <x v="2"/>
    <x v="2"/>
    <n v="2740.13"/>
    <n v="1400"/>
    <n v="384"/>
    <n v="19"/>
    <n v="15481.38"/>
    <n v="0.27429999999999999"/>
    <n v="7.14"/>
    <n v="4.6498999999999997"/>
    <n v="4.9479166666666664E-2"/>
    <n v="4.9479166666666661"/>
    <n v="3.9916314247564531"/>
    <n v="12741.25"/>
    <x v="2"/>
    <x v="1"/>
  </r>
  <r>
    <d v="2024-04-07T00:00:00"/>
    <x v="2"/>
    <x v="2"/>
    <x v="0"/>
    <x v="2"/>
    <n v="2876.66"/>
    <n v="1162"/>
    <n v="939"/>
    <n v="16"/>
    <n v="8230.09"/>
    <n v="0.80810000000000004"/>
    <n v="3.06"/>
    <n v="1.861"/>
    <n v="1.7039403620873271E-2"/>
    <n v="1.703940362087327"/>
    <n v="3.9916314247564531"/>
    <n v="5353.43"/>
    <x v="3"/>
    <x v="1"/>
  </r>
  <r>
    <d v="2024-04-14T00:00:00"/>
    <x v="2"/>
    <x v="3"/>
    <x v="1"/>
    <x v="2"/>
    <n v="4378.21"/>
    <n v="1137"/>
    <n v="941"/>
    <n v="35"/>
    <n v="5826.28"/>
    <n v="0.8276"/>
    <n v="4.6500000000000004"/>
    <n v="0.33069999999999999"/>
    <n v="3.7194473963868227E-2"/>
    <n v="3.7194473963868226"/>
    <n v="3.9916314247564531"/>
    <n v="1448.0699999999997"/>
    <x v="3"/>
    <x v="1"/>
  </r>
  <r>
    <d v="2024-04-21T00:00:00"/>
    <x v="3"/>
    <x v="1"/>
    <x v="2"/>
    <x v="2"/>
    <n v="4941.79"/>
    <n v="7902"/>
    <n v="141"/>
    <n v="38"/>
    <n v="13406.82"/>
    <n v="1.78E-2"/>
    <n v="35.049999999999997"/>
    <n v="1.7129000000000001"/>
    <n v="0.26950354609929078"/>
    <n v="26.950354609929079"/>
    <n v="3.9916314247564531"/>
    <n v="8465.0299999999988"/>
    <x v="3"/>
    <x v="1"/>
  </r>
  <r>
    <d v="2024-04-28T00:00:00"/>
    <x v="1"/>
    <x v="2"/>
    <x v="0"/>
    <x v="2"/>
    <n v="1376.02"/>
    <n v="4872"/>
    <n v="922"/>
    <n v="40"/>
    <n v="6238.04"/>
    <n v="0.18920000000000001"/>
    <n v="1.49"/>
    <n v="3.5333999999999999"/>
    <n v="4.3383947939262472E-2"/>
    <n v="4.3383947939262475"/>
    <n v="3.9916314247564531"/>
    <n v="4862.0200000000004"/>
    <x v="3"/>
    <x v="1"/>
  </r>
  <r>
    <d v="2024-05-05T00:00:00"/>
    <x v="0"/>
    <x v="2"/>
    <x v="3"/>
    <x v="3"/>
    <n v="3324.53"/>
    <n v="7993"/>
    <n v="377"/>
    <n v="42"/>
    <n v="8491.86"/>
    <n v="4.7199999999999999E-2"/>
    <n v="8.82"/>
    <n v="1.5543"/>
    <n v="0.11140583554376658"/>
    <n v="11.140583554376658"/>
    <n v="3.9916314247564531"/>
    <n v="5167.33"/>
    <x v="4"/>
    <x v="1"/>
  </r>
  <r>
    <d v="2024-05-12T00:00:00"/>
    <x v="0"/>
    <x v="1"/>
    <x v="1"/>
    <x v="2"/>
    <n v="2318.27"/>
    <n v="3481"/>
    <n v="688"/>
    <n v="26"/>
    <n v="2667.33"/>
    <n v="0.1976"/>
    <n v="3.37"/>
    <n v="0.15060000000000001"/>
    <n v="3.7790697674418602E-2"/>
    <n v="3.7790697674418601"/>
    <n v="3.9916314247564531"/>
    <n v="349.05999999999995"/>
    <x v="4"/>
    <x v="1"/>
  </r>
  <r>
    <d v="2024-05-19T00:00:00"/>
    <x v="1"/>
    <x v="0"/>
    <x v="2"/>
    <x v="0"/>
    <n v="2417.89"/>
    <n v="8982"/>
    <n v="282"/>
    <n v="29"/>
    <n v="10829.6"/>
    <n v="3.1399999999999997E-2"/>
    <n v="8.57"/>
    <n v="3.4788999999999999"/>
    <n v="0.10283687943262411"/>
    <n v="10.283687943262411"/>
    <n v="3.9916314247564531"/>
    <n v="8411.7100000000009"/>
    <x v="4"/>
    <x v="1"/>
  </r>
  <r>
    <d v="2024-05-26T00:00:00"/>
    <x v="0"/>
    <x v="3"/>
    <x v="0"/>
    <x v="3"/>
    <n v="610.83000000000004"/>
    <n v="5841"/>
    <n v="357"/>
    <n v="45"/>
    <n v="1134.52"/>
    <n v="6.1100000000000002E-2"/>
    <n v="1.71"/>
    <n v="0.85729999999999995"/>
    <n v="0.12605042016806722"/>
    <n v="12.605042016806722"/>
    <n v="3.9916314247564531"/>
    <n v="523.68999999999994"/>
    <x v="4"/>
    <x v="1"/>
  </r>
  <r>
    <d v="2024-06-02T00:00:00"/>
    <x v="1"/>
    <x v="0"/>
    <x v="0"/>
    <x v="1"/>
    <n v="1203.33"/>
    <n v="5425"/>
    <n v="764"/>
    <n v="36"/>
    <n v="2873.42"/>
    <n v="0.14080000000000001"/>
    <n v="1.58"/>
    <n v="1.3878999999999999"/>
    <n v="4.712041884816754E-2"/>
    <n v="4.7120418848167542"/>
    <n v="3.9916314247564531"/>
    <n v="1670.0900000000001"/>
    <x v="5"/>
    <x v="1"/>
  </r>
  <r>
    <d v="2024-06-09T00:00:00"/>
    <x v="1"/>
    <x v="3"/>
    <x v="0"/>
    <x v="2"/>
    <n v="1532.29"/>
    <n v="8742"/>
    <n v="635"/>
    <n v="20"/>
    <n v="5409.03"/>
    <n v="7.2599999999999998E-2"/>
    <n v="2.41"/>
    <n v="2.5299999999999998"/>
    <n v="3.1496062992125984E-2"/>
    <n v="3.1496062992125982"/>
    <n v="3.9916314247564531"/>
    <n v="3876.74"/>
    <x v="5"/>
    <x v="1"/>
  </r>
  <r>
    <d v="2024-06-16T00:00:00"/>
    <x v="1"/>
    <x v="1"/>
    <x v="0"/>
    <x v="2"/>
    <n v="3114.54"/>
    <n v="7818"/>
    <n v="441"/>
    <n v="39"/>
    <n v="7945.99"/>
    <n v="5.6399999999999999E-2"/>
    <n v="7.06"/>
    <n v="1.5512999999999999"/>
    <n v="8.8435374149659865E-2"/>
    <n v="8.8435374149659864"/>
    <n v="3.9916314247564531"/>
    <n v="4831.45"/>
    <x v="5"/>
    <x v="1"/>
  </r>
  <r>
    <d v="2024-06-23T00:00:00"/>
    <x v="0"/>
    <x v="3"/>
    <x v="1"/>
    <x v="2"/>
    <n v="1321.6"/>
    <n v="1888"/>
    <n v="203"/>
    <n v="41"/>
    <n v="5218.2700000000004"/>
    <n v="0.1075"/>
    <n v="6.51"/>
    <n v="2.9483999999999999"/>
    <n v="0.2019704433497537"/>
    <n v="20.19704433497537"/>
    <n v="3.9916314247564531"/>
    <n v="3896.6700000000005"/>
    <x v="5"/>
    <x v="1"/>
  </r>
  <r>
    <d v="2024-06-30T00:00:00"/>
    <x v="0"/>
    <x v="2"/>
    <x v="3"/>
    <x v="0"/>
    <n v="2383.64"/>
    <n v="3052"/>
    <n v="287"/>
    <n v="36"/>
    <n v="3515.7"/>
    <n v="9.4E-2"/>
    <n v="8.31"/>
    <n v="0.47489999999999999"/>
    <n v="0.12543554006968641"/>
    <n v="12.543554006968641"/>
    <n v="3.9916314247564531"/>
    <n v="1132.06"/>
    <x v="5"/>
    <x v="1"/>
  </r>
  <r>
    <d v="2024-07-07T00:00:00"/>
    <x v="1"/>
    <x v="2"/>
    <x v="0"/>
    <x v="0"/>
    <n v="4165.55"/>
    <n v="5640"/>
    <n v="532"/>
    <n v="22"/>
    <n v="8609.61"/>
    <n v="9.4299999999999995E-2"/>
    <n v="7.83"/>
    <n v="1.0669"/>
    <n v="4.1353383458646614E-2"/>
    <n v="4.1353383458646613"/>
    <n v="3.9916314247564531"/>
    <n v="4444.0600000000004"/>
    <x v="6"/>
    <x v="1"/>
  </r>
  <r>
    <d v="2024-07-14T00:00:00"/>
    <x v="0"/>
    <x v="3"/>
    <x v="1"/>
    <x v="0"/>
    <n v="3637.12"/>
    <n v="7365"/>
    <n v="709"/>
    <n v="12"/>
    <n v="9941.1200000000008"/>
    <n v="9.6299999999999997E-2"/>
    <n v="5.13"/>
    <n v="1.7332000000000001"/>
    <n v="1.6925246826516221E-2"/>
    <n v="1.692524682651622"/>
    <n v="3.9916314247564531"/>
    <n v="6304.0000000000009"/>
    <x v="6"/>
    <x v="1"/>
  </r>
  <r>
    <d v="2024-07-21T00:00:00"/>
    <x v="3"/>
    <x v="2"/>
    <x v="2"/>
    <x v="0"/>
    <n v="4462.95"/>
    <n v="6323"/>
    <n v="504"/>
    <n v="25"/>
    <n v="15075.84"/>
    <n v="7.9699999999999993E-2"/>
    <n v="8.86"/>
    <n v="2.3780000000000001"/>
    <n v="4.96031746031746E-2"/>
    <n v="4.9603174603174605"/>
    <n v="3.9916314247564531"/>
    <n v="10612.89"/>
    <x v="6"/>
    <x v="1"/>
  </r>
  <r>
    <d v="2024-07-28T00:00:00"/>
    <x v="0"/>
    <x v="0"/>
    <x v="1"/>
    <x v="1"/>
    <n v="2009.35"/>
    <n v="1147"/>
    <n v="543"/>
    <n v="16"/>
    <n v="16548.38"/>
    <n v="0.47339999999999999"/>
    <n v="3.7"/>
    <n v="7.2356999999999996"/>
    <n v="2.9465930018416207E-2"/>
    <n v="2.9465930018416207"/>
    <n v="3.9916314247564531"/>
    <n v="14539.03"/>
    <x v="6"/>
    <x v="1"/>
  </r>
  <r>
    <d v="2024-08-04T00:00:00"/>
    <x v="0"/>
    <x v="2"/>
    <x v="3"/>
    <x v="2"/>
    <n v="3950.09"/>
    <n v="8663"/>
    <n v="227"/>
    <n v="43"/>
    <n v="9338.99"/>
    <n v="2.6200000000000001E-2"/>
    <n v="17.399999999999999"/>
    <n v="1.3642000000000001"/>
    <n v="0.1894273127753304"/>
    <n v="18.942731277533039"/>
    <n v="3.9916314247564531"/>
    <n v="5388.9"/>
    <x v="7"/>
    <x v="1"/>
  </r>
  <r>
    <d v="2024-08-11T00:00:00"/>
    <x v="2"/>
    <x v="2"/>
    <x v="1"/>
    <x v="2"/>
    <n v="1287.8900000000001"/>
    <n v="1530"/>
    <n v="781"/>
    <n v="19"/>
    <n v="18695.55"/>
    <n v="0.51049999999999995"/>
    <n v="1.65"/>
    <n v="13.516400000000001"/>
    <n v="2.4327784891165175E-2"/>
    <n v="2.4327784891165174"/>
    <n v="3.9916314247564531"/>
    <n v="17407.66"/>
    <x v="7"/>
    <x v="1"/>
  </r>
  <r>
    <d v="2024-08-18T00:00:00"/>
    <x v="1"/>
    <x v="2"/>
    <x v="2"/>
    <x v="2"/>
    <n v="3378.78"/>
    <n v="5196"/>
    <n v="723"/>
    <n v="42"/>
    <n v="1023.81"/>
    <n v="0.1391"/>
    <n v="4.67"/>
    <n v="-0.69699999999999995"/>
    <n v="5.8091286307053944E-2"/>
    <n v="5.809128630705394"/>
    <n v="3.9916314247564531"/>
    <n v="-2354.9700000000003"/>
    <x v="7"/>
    <x v="1"/>
  </r>
  <r>
    <d v="2024-08-25T00:00:00"/>
    <x v="0"/>
    <x v="0"/>
    <x v="0"/>
    <x v="0"/>
    <n v="3632.86"/>
    <n v="8716"/>
    <n v="259"/>
    <n v="44"/>
    <n v="15651.6"/>
    <n v="2.9700000000000001E-2"/>
    <n v="14.03"/>
    <n v="3.3083"/>
    <n v="0.16988416988416988"/>
    <n v="16.988416988416986"/>
    <n v="3.9916314247564531"/>
    <n v="12018.74"/>
    <x v="7"/>
    <x v="1"/>
  </r>
  <r>
    <d v="2024-09-01T00:00:00"/>
    <x v="2"/>
    <x v="0"/>
    <x v="3"/>
    <x v="2"/>
    <n v="1154.8399999999999"/>
    <n v="4205"/>
    <n v="538"/>
    <n v="3"/>
    <n v="4112.01"/>
    <n v="0.12790000000000001"/>
    <n v="2.15"/>
    <n v="2.5607000000000002"/>
    <n v="5.5762081784386614E-3"/>
    <n v="0.55762081784386619"/>
    <n v="3.9916314247564531"/>
    <n v="2957.17"/>
    <x v="8"/>
    <x v="1"/>
  </r>
  <r>
    <d v="2024-09-08T00:00:00"/>
    <x v="2"/>
    <x v="1"/>
    <x v="2"/>
    <x v="0"/>
    <n v="1862.04"/>
    <n v="3569"/>
    <n v="774"/>
    <n v="11"/>
    <n v="8787.16"/>
    <n v="0.21690000000000001"/>
    <n v="2.41"/>
    <n v="3.7191000000000001"/>
    <n v="1.4211886304909561E-2"/>
    <n v="1.421188630490956"/>
    <n v="3.9916314247564531"/>
    <n v="6925.12"/>
    <x v="8"/>
    <x v="1"/>
  </r>
  <r>
    <d v="2024-09-15T00:00:00"/>
    <x v="3"/>
    <x v="0"/>
    <x v="0"/>
    <x v="3"/>
    <n v="1555.73"/>
    <n v="9432"/>
    <n v="623"/>
    <n v="29"/>
    <n v="18952.14"/>
    <n v="6.6100000000000006E-2"/>
    <n v="2.5"/>
    <n v="11.1822"/>
    <n v="4.6548956661316213E-2"/>
    <n v="4.6548956661316216"/>
    <n v="3.9916314247564531"/>
    <n v="17396.41"/>
    <x v="8"/>
    <x v="1"/>
  </r>
  <r>
    <d v="2024-09-22T00:00:00"/>
    <x v="1"/>
    <x v="0"/>
    <x v="2"/>
    <x v="1"/>
    <n v="3973.06"/>
    <n v="4187"/>
    <n v="619"/>
    <n v="5"/>
    <n v="13059.27"/>
    <n v="0.14779999999999999"/>
    <n v="6.42"/>
    <n v="2.2869999999999999"/>
    <n v="8.0775444264943458E-3"/>
    <n v="0.80775444264943452"/>
    <n v="3.9916314247564531"/>
    <n v="9086.2100000000009"/>
    <x v="8"/>
    <x v="1"/>
  </r>
  <r>
    <d v="2024-09-29T00:00:00"/>
    <x v="3"/>
    <x v="0"/>
    <x v="3"/>
    <x v="1"/>
    <n v="3970.41"/>
    <n v="1114"/>
    <n v="869"/>
    <n v="46"/>
    <n v="6219.6"/>
    <n v="0.78010000000000002"/>
    <n v="4.57"/>
    <n v="0.5665"/>
    <n v="5.2934407364787113E-2"/>
    <n v="5.2934407364787113"/>
    <n v="3.9916314247564531"/>
    <n v="2249.1900000000005"/>
    <x v="8"/>
    <x v="1"/>
  </r>
  <r>
    <d v="2024-10-06T00:00:00"/>
    <x v="2"/>
    <x v="2"/>
    <x v="3"/>
    <x v="1"/>
    <n v="2946.93"/>
    <n v="9307"/>
    <n v="583"/>
    <n v="39"/>
    <n v="5436.82"/>
    <n v="6.2600000000000003E-2"/>
    <n v="5.05"/>
    <n v="0.84489999999999998"/>
    <n v="6.6895368782161235E-2"/>
    <n v="6.6895368782161233"/>
    <n v="3.9916314247564531"/>
    <n v="2489.89"/>
    <x v="9"/>
    <x v="1"/>
  </r>
  <r>
    <d v="2024-10-13T00:00:00"/>
    <x v="3"/>
    <x v="2"/>
    <x v="3"/>
    <x v="0"/>
    <n v="2916.69"/>
    <n v="2060"/>
    <n v="172"/>
    <n v="17"/>
    <n v="11932.58"/>
    <n v="8.3500000000000005E-2"/>
    <n v="16.96"/>
    <n v="3.0911"/>
    <n v="9.8837209302325577E-2"/>
    <n v="9.8837209302325579"/>
    <n v="3.9916314247564531"/>
    <n v="9015.89"/>
    <x v="9"/>
    <x v="1"/>
  </r>
  <r>
    <d v="2024-10-20T00:00:00"/>
    <x v="1"/>
    <x v="2"/>
    <x v="0"/>
    <x v="2"/>
    <n v="3636.93"/>
    <n v="6856"/>
    <n v="352"/>
    <n v="26"/>
    <n v="18906.16"/>
    <n v="5.1299999999999998E-2"/>
    <n v="10.33"/>
    <n v="4.1984000000000004"/>
    <n v="7.3863636363636367E-2"/>
    <n v="7.3863636363636367"/>
    <n v="3.9916314247564531"/>
    <n v="15269.23"/>
    <x v="9"/>
    <x v="1"/>
  </r>
  <r>
    <d v="2024-10-27T00:00:00"/>
    <x v="3"/>
    <x v="3"/>
    <x v="1"/>
    <x v="3"/>
    <n v="3540.6"/>
    <n v="8400"/>
    <n v="979"/>
    <n v="28"/>
    <n v="17279.68"/>
    <n v="0.11650000000000001"/>
    <n v="3.62"/>
    <n v="3.8803999999999998"/>
    <n v="2.8600612870275793E-2"/>
    <n v="2.8600612870275794"/>
    <n v="3.9916314247564531"/>
    <n v="13739.08"/>
    <x v="9"/>
    <x v="1"/>
  </r>
  <r>
    <d v="2024-11-03T00:00:00"/>
    <x v="1"/>
    <x v="1"/>
    <x v="2"/>
    <x v="2"/>
    <n v="950.21"/>
    <n v="9942"/>
    <n v="530"/>
    <n v="31"/>
    <n v="12641.66"/>
    <n v="5.33E-2"/>
    <n v="1.79"/>
    <n v="12.3041"/>
    <n v="5.849056603773585E-2"/>
    <n v="5.8490566037735849"/>
    <n v="3.9916314247564531"/>
    <n v="11691.45"/>
    <x v="10"/>
    <x v="1"/>
  </r>
  <r>
    <d v="2024-11-10T00:00:00"/>
    <x v="0"/>
    <x v="1"/>
    <x v="2"/>
    <x v="0"/>
    <n v="2056.67"/>
    <n v="5688"/>
    <n v="583"/>
    <n v="49"/>
    <n v="14541.76"/>
    <n v="0.10249999999999999"/>
    <n v="3.53"/>
    <n v="6.0705"/>
    <n v="8.4048027444253853E-2"/>
    <n v="8.4048027444253854"/>
    <n v="3.9916314247564531"/>
    <n v="12485.09"/>
    <x v="10"/>
    <x v="1"/>
  </r>
  <r>
    <d v="2024-11-17T00:00:00"/>
    <x v="3"/>
    <x v="3"/>
    <x v="0"/>
    <x v="2"/>
    <n v="2756.2"/>
    <n v="5013"/>
    <n v="664"/>
    <n v="31"/>
    <n v="6824.82"/>
    <n v="0.13250000000000001"/>
    <n v="4.1500000000000004"/>
    <n v="1.4762"/>
    <n v="4.6686746987951805E-2"/>
    <n v="4.6686746987951802"/>
    <n v="3.9916314247564531"/>
    <n v="4068.62"/>
    <x v="10"/>
    <x v="1"/>
  </r>
  <r>
    <d v="2024-11-24T00:00:00"/>
    <x v="1"/>
    <x v="0"/>
    <x v="0"/>
    <x v="1"/>
    <n v="1328.71"/>
    <n v="1941"/>
    <n v="177"/>
    <n v="1"/>
    <n v="9215.7199999999993"/>
    <n v="9.1200000000000003E-2"/>
    <n v="7.51"/>
    <n v="5.9358000000000004"/>
    <n v="5.6497175141242938E-3"/>
    <n v="0.56497175141242939"/>
    <n v="3.9916314247564531"/>
    <n v="7887.0099999999993"/>
    <x v="1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B5CA3A3-8DBF-4950-B841-A58D83F32E93}" name="PivotTable47" cacheId="6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75">
  <location ref="K116:O121" firstHeaderRow="0" firstDataRow="1" firstDataCol="1"/>
  <pivotFields count="19">
    <pivotField compact="0" numFmtId="14" outline="0" showAll="0"/>
    <pivotField compact="0" outline="0" showAll="0">
      <items count="5">
        <item x="1"/>
        <item x="0"/>
        <item x="2"/>
        <item x="3"/>
        <item t="default"/>
      </items>
    </pivotField>
    <pivotField compact="0" outline="0" showAll="0">
      <items count="5">
        <item x="3"/>
        <item x="2"/>
        <item x="0"/>
        <item x="1"/>
        <item t="default"/>
      </items>
    </pivotField>
    <pivotField compact="0" outline="0" showAll="0">
      <items count="5">
        <item x="3"/>
        <item x="0"/>
        <item x="1"/>
        <item x="2"/>
        <item t="default"/>
      </items>
    </pivotField>
    <pivotField axis="axisRow" compact="0" outline="0" showAll="0">
      <items count="5">
        <item x="2"/>
        <item x="1"/>
        <item x="3"/>
        <item x="0"/>
        <item t="default"/>
      </items>
    </pivotField>
    <pivotField dataField="1" compact="0" outline="0" showAll="0"/>
    <pivotField compact="0" outline="0" showAll="0"/>
    <pivotField compact="0" outline="0" showAll="0"/>
    <pivotField compact="0" outline="0" showAll="0"/>
    <pivotField dataField="1" compact="0" outline="0" showAll="0"/>
    <pivotField compact="0" outline="0" showAll="0"/>
    <pivotField compact="0" outline="0" showAll="0"/>
    <pivotField dataField="1" compact="0" outline="0" showAll="0"/>
    <pivotField dataField="1" compact="0" numFmtId="9" outline="0" showAll="0"/>
    <pivotField compact="0" outline="0" showAll="0"/>
    <pivotField compact="0" numFmtId="164" outline="0" showAll="0"/>
    <pivotField compact="0" numFmtId="164" outline="0" showAll="0"/>
    <pivotField compact="0" outline="0" showAll="0"/>
    <pivotField compact="0" outline="0" showAll="0"/>
  </pivotFields>
  <rowFields count="1">
    <field x="4"/>
  </rowFields>
  <rowItems count="5">
    <i>
      <x/>
    </i>
    <i>
      <x v="1"/>
    </i>
    <i>
      <x v="2"/>
    </i>
    <i>
      <x v="3"/>
    </i>
    <i t="grand">
      <x/>
    </i>
  </rowItems>
  <colFields count="1">
    <field x="-2"/>
  </colFields>
  <colItems count="4">
    <i>
      <x/>
    </i>
    <i i="1">
      <x v="1"/>
    </i>
    <i i="2">
      <x v="2"/>
    </i>
    <i i="3">
      <x v="3"/>
    </i>
  </colItems>
  <dataFields count="4">
    <dataField name="Spend" fld="5" baseField="0" baseItem="0"/>
    <dataField name="Revenue" fld="9" baseField="0" baseItem="0"/>
    <dataField name="Conversion Rate % " fld="13" subtotal="average" baseField="0" baseItem="0" numFmtId="9"/>
    <dataField name="ROI %" fld="12" subtotal="average" baseField="0" baseItem="0" numFmtId="9"/>
  </dataFields>
  <formats count="3">
    <format dxfId="2">
      <pivotArea outline="0" collapsedLevelsAreSubtotals="1" fieldPosition="0"/>
    </format>
    <format dxfId="1">
      <pivotArea outline="0" fieldPosition="0">
        <references count="1">
          <reference field="4294967294" count="1" selected="0">
            <x v="2"/>
          </reference>
        </references>
      </pivotArea>
    </format>
    <format dxfId="0">
      <pivotArea outline="0" fieldPosition="0">
        <references count="1">
          <reference field="4294967294" count="1" selected="0">
            <x v="3"/>
          </reference>
        </references>
      </pivotArea>
    </format>
  </formats>
  <chartFormats count="16">
    <chartFormat chart="8"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7" format="3" series="1">
      <pivotArea type="data" outline="0" fieldPosition="0">
        <references count="1">
          <reference field="4294967294" count="1" selected="0">
            <x v="3"/>
          </reference>
        </references>
      </pivotArea>
    </chartFormat>
    <chartFormat chart="17" format="4"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1"/>
          </reference>
        </references>
      </pivotArea>
    </chartFormat>
    <chartFormat chart="17" format="6" series="1">
      <pivotArea type="data" outline="0" fieldPosition="0">
        <references count="1">
          <reference field="4294967294" count="1" selected="0">
            <x v="2"/>
          </reference>
        </references>
      </pivotArea>
    </chartFormat>
    <chartFormat chart="18"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1"/>
          </reference>
        </references>
      </pivotArea>
    </chartFormat>
    <chartFormat chart="18" format="2" series="1">
      <pivotArea type="data" outline="0" fieldPosition="0">
        <references count="1">
          <reference field="4294967294" count="1" selected="0">
            <x v="2"/>
          </reference>
        </references>
      </pivotArea>
    </chartFormat>
    <chartFormat chart="18" format="3" series="1">
      <pivotArea type="data" outline="0" fieldPosition="0">
        <references count="1">
          <reference field="4294967294" count="1" selected="0">
            <x v="3"/>
          </reference>
        </references>
      </pivotArea>
    </chartFormat>
    <chartFormat chart="22" format="96" series="1">
      <pivotArea type="data" outline="0" fieldPosition="0">
        <references count="1">
          <reference field="4294967294" count="1" selected="0">
            <x v="0"/>
          </reference>
        </references>
      </pivotArea>
    </chartFormat>
    <chartFormat chart="22" format="97" series="1">
      <pivotArea type="data" outline="0" fieldPosition="0">
        <references count="1">
          <reference field="4294967294" count="1" selected="0">
            <x v="1"/>
          </reference>
        </references>
      </pivotArea>
    </chartFormat>
    <chartFormat chart="22" format="98" series="1">
      <pivotArea type="data" outline="0" fieldPosition="0">
        <references count="1">
          <reference field="4294967294" count="1" selected="0">
            <x v="2"/>
          </reference>
        </references>
      </pivotArea>
    </chartFormat>
    <chartFormat chart="22" format="99" series="1">
      <pivotArea type="data" outline="0" fieldPosition="0">
        <references count="1">
          <reference field="4294967294" count="1" selected="0">
            <x v="3"/>
          </reference>
        </references>
      </pivotArea>
    </chartFormat>
    <chartFormat chart="22" format="100">
      <pivotArea type="data" outline="0" fieldPosition="0">
        <references count="2">
          <reference field="4294967294" count="1" selected="0">
            <x v="3"/>
          </reference>
          <reference field="4" count="1" selected="0">
            <x v="1"/>
          </reference>
        </references>
      </pivotArea>
    </chartFormat>
    <chartFormat chart="22" format="101">
      <pivotArea type="data" outline="0" fieldPosition="0">
        <references count="2">
          <reference field="4294967294" count="1" selected="0">
            <x v="3"/>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75A98CC-6A36-4F11-9E05-68ABDBD5F8EC}" name="PivotTable9" cacheId="6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2:B27" firstHeaderRow="1" firstDataRow="1" firstDataCol="1"/>
  <pivotFields count="19">
    <pivotField compact="0" numFmtId="14" outline="0" showAll="0"/>
    <pivotField compact="0" outline="0" showAll="0">
      <items count="5">
        <item x="1"/>
        <item x="0"/>
        <item x="2"/>
        <item x="3"/>
        <item t="default"/>
      </items>
    </pivotField>
    <pivotField compact="0" outline="0" showAll="0">
      <items count="5">
        <item x="3"/>
        <item x="2"/>
        <item x="0"/>
        <item x="1"/>
        <item t="default"/>
      </items>
    </pivotField>
    <pivotField axis="axisRow" compact="0" outline="0" showAll="0">
      <items count="5">
        <item x="3"/>
        <item x="0"/>
        <item x="1"/>
        <item x="2"/>
        <item t="default"/>
      </items>
    </pivotField>
    <pivotField compact="0" outline="0" showAll="0">
      <items count="5">
        <item x="2"/>
        <item x="1"/>
        <item x="3"/>
        <item x="0"/>
        <item t="default"/>
      </items>
    </pivotField>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9" outline="0" showAll="0"/>
    <pivotField compact="0" outline="0" showAll="0"/>
    <pivotField compact="0" numFmtId="164" outline="0" showAll="0"/>
    <pivotField compact="0" numFmtId="164" outline="0" showAll="0"/>
    <pivotField compact="0" outline="0" showAll="0"/>
    <pivotField compact="0" outline="0" showAll="0"/>
  </pivotFields>
  <rowFields count="1">
    <field x="3"/>
  </rowFields>
  <rowItems count="5">
    <i>
      <x/>
    </i>
    <i>
      <x v="1"/>
    </i>
    <i>
      <x v="2"/>
    </i>
    <i>
      <x v="3"/>
    </i>
    <i t="grand">
      <x/>
    </i>
  </rowItems>
  <colItems count="1">
    <i/>
  </colItems>
  <dataFields count="1">
    <dataField name="Total Impressions" fld="6" baseField="0" baseItem="0"/>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9B45686-0777-4F47-932B-A598AFB27A33}" name="PivotTable2" cacheId="6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7">
  <location ref="D6:F11" firstHeaderRow="0" firstDataRow="1" firstDataCol="1"/>
  <pivotFields count="19">
    <pivotField compact="0" numFmtId="14" outline="0" showAll="0"/>
    <pivotField axis="axisRow" compact="0" outline="0" showAll="0">
      <items count="5">
        <item x="1"/>
        <item x="0"/>
        <item x="2"/>
        <item x="3"/>
        <item t="default"/>
      </items>
    </pivotField>
    <pivotField compact="0" outline="0" showAll="0">
      <items count="5">
        <item x="3"/>
        <item x="2"/>
        <item x="0"/>
        <item x="1"/>
        <item t="default"/>
      </items>
    </pivotField>
    <pivotField compact="0" outline="0" showAll="0">
      <items count="5">
        <item x="3"/>
        <item x="0"/>
        <item x="1"/>
        <item x="2"/>
        <item t="default"/>
      </items>
    </pivotField>
    <pivotField compact="0" outline="0" showAll="0">
      <items count="5">
        <item x="2"/>
        <item x="1"/>
        <item x="3"/>
        <item x="0"/>
        <item t="default"/>
      </items>
    </pivotField>
    <pivotField dataField="1"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numFmtId="9" outline="0" showAll="0"/>
    <pivotField compact="0" outline="0" showAll="0"/>
    <pivotField compact="0" numFmtId="164" outline="0" showAll="0"/>
    <pivotField compact="0" numFmtId="164" outline="0" showAll="0"/>
    <pivotField compact="0" outline="0" showAll="0"/>
    <pivotField compact="0" outline="0" showAll="0"/>
  </pivotFields>
  <rowFields count="1">
    <field x="1"/>
  </rowFields>
  <rowItems count="5">
    <i>
      <x/>
    </i>
    <i>
      <x v="1"/>
    </i>
    <i>
      <x v="2"/>
    </i>
    <i>
      <x v="3"/>
    </i>
    <i t="grand">
      <x/>
    </i>
  </rowItems>
  <colFields count="1">
    <field x="-2"/>
  </colFields>
  <colItems count="2">
    <i>
      <x/>
    </i>
    <i i="1">
      <x v="1"/>
    </i>
  </colItems>
  <dataFields count="2">
    <dataField name="Spend" fld="5" baseField="0" baseItem="0"/>
    <dataField name="Revenue" fld="9" baseField="0" baseItem="0"/>
  </dataFields>
  <formats count="1">
    <format dxfId="4">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 chart="4" format="28" series="1">
      <pivotArea type="data" outline="0" fieldPosition="0">
        <references count="1">
          <reference field="4294967294" count="1" selected="0">
            <x v="0"/>
          </reference>
        </references>
      </pivotArea>
    </chartFormat>
    <chartFormat chart="4" format="2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F52FC0E-AFA1-474D-B858-30F1509D6FAB}" name="PivotTable46" cacheId="6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T1:V27" firstHeaderRow="1" firstDataRow="1" firstDataCol="2"/>
  <pivotFields count="19">
    <pivotField compact="0" numFmtId="14" outline="0" showAll="0"/>
    <pivotField compact="0" outline="0" showAll="0">
      <items count="5">
        <item x="1"/>
        <item x="0"/>
        <item x="2"/>
        <item x="3"/>
        <item t="default"/>
      </items>
    </pivotField>
    <pivotField compact="0" outline="0" showAll="0">
      <items count="5">
        <item x="3"/>
        <item x="2"/>
        <item x="0"/>
        <item x="1"/>
        <item t="default"/>
      </items>
    </pivotField>
    <pivotField compact="0" outline="0" showAll="0">
      <items count="5">
        <item x="3"/>
        <item x="0"/>
        <item x="1"/>
        <item x="2"/>
        <item t="default"/>
      </items>
    </pivotField>
    <pivotField compact="0" outline="0" showAll="0">
      <items count="5">
        <item x="2"/>
        <item x="1"/>
        <item x="3"/>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numFmtId="9" outline="0" showAll="0"/>
    <pivotField compact="0" outline="0" showAll="0"/>
    <pivotField compact="0" numFmtId="164" outline="0" showAll="0"/>
    <pivotField compact="0" numFmtId="164" outline="0" showAll="0"/>
    <pivotField axis="axisRow" compact="0" outline="0" showAll="0">
      <items count="13">
        <item x="0"/>
        <item x="1"/>
        <item x="2"/>
        <item x="3"/>
        <item x="4"/>
        <item x="5"/>
        <item x="6"/>
        <item x="7"/>
        <item x="8"/>
        <item x="9"/>
        <item x="10"/>
        <item x="11"/>
        <item t="default"/>
      </items>
    </pivotField>
    <pivotField axis="axisRow" compact="0" outline="0" showAll="0">
      <items count="3">
        <item x="0"/>
        <item x="1"/>
        <item t="default"/>
      </items>
    </pivotField>
  </pivotFields>
  <rowFields count="2">
    <field x="18"/>
    <field x="17"/>
  </rowFields>
  <rowItems count="26">
    <i>
      <x/>
      <x/>
    </i>
    <i r="1">
      <x v="1"/>
    </i>
    <i r="1">
      <x v="2"/>
    </i>
    <i r="1">
      <x v="3"/>
    </i>
    <i r="1">
      <x v="4"/>
    </i>
    <i r="1">
      <x v="5"/>
    </i>
    <i r="1">
      <x v="6"/>
    </i>
    <i r="1">
      <x v="7"/>
    </i>
    <i r="1">
      <x v="8"/>
    </i>
    <i r="1">
      <x v="9"/>
    </i>
    <i r="1">
      <x v="10"/>
    </i>
    <i r="1">
      <x v="11"/>
    </i>
    <i t="default">
      <x/>
    </i>
    <i>
      <x v="1"/>
      <x/>
    </i>
    <i r="1">
      <x v="1"/>
    </i>
    <i r="1">
      <x v="2"/>
    </i>
    <i r="1">
      <x v="3"/>
    </i>
    <i r="1">
      <x v="4"/>
    </i>
    <i r="1">
      <x v="5"/>
    </i>
    <i r="1">
      <x v="6"/>
    </i>
    <i r="1">
      <x v="7"/>
    </i>
    <i r="1">
      <x v="8"/>
    </i>
    <i r="1">
      <x v="9"/>
    </i>
    <i r="1">
      <x v="10"/>
    </i>
    <i t="default">
      <x v="1"/>
    </i>
    <i t="grand">
      <x/>
    </i>
  </rowItems>
  <colItems count="1">
    <i/>
  </colItems>
  <dataFields count="1">
    <dataField name="Average of ROI-" fld="12" subtotal="average" baseField="0" baseItem="0" numFmtId="9"/>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AC7183F-9ECB-4B82-B2E1-31BF68263F9F}" name="PivotTable22" cacheId="6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D46:E51" firstHeaderRow="1" firstDataRow="1" firstDataCol="1"/>
  <pivotFields count="19">
    <pivotField compact="0" numFmtId="14" outline="0" showAll="0"/>
    <pivotField compact="0" outline="0" showAll="0">
      <items count="5">
        <item x="1"/>
        <item x="0"/>
        <item x="2"/>
        <item x="3"/>
        <item t="default"/>
      </items>
    </pivotField>
    <pivotField compact="0" outline="0" showAll="0">
      <items count="5">
        <item x="3"/>
        <item x="2"/>
        <item x="0"/>
        <item x="1"/>
        <item t="default"/>
      </items>
    </pivotField>
    <pivotField compact="0" outline="0" showAll="0">
      <items count="5">
        <item x="3"/>
        <item x="0"/>
        <item x="1"/>
        <item x="2"/>
        <item t="default"/>
      </items>
    </pivotField>
    <pivotField axis="axisRow" compact="0" outline="0" showAll="0">
      <items count="5">
        <item x="2"/>
        <item x="1"/>
        <item x="3"/>
        <item x="0"/>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numFmtId="9" outline="0" showAll="0"/>
    <pivotField compact="0" outline="0" showAll="0"/>
    <pivotField compact="0" numFmtId="164" outline="0" showAll="0"/>
    <pivotField compact="0" numFmtId="164" outline="0" showAll="0"/>
    <pivotField compact="0" outline="0" showAll="0"/>
    <pivotField compact="0" outline="0" showAll="0"/>
  </pivotFields>
  <rowFields count="1">
    <field x="4"/>
  </rowFields>
  <rowItems count="5">
    <i>
      <x/>
    </i>
    <i>
      <x v="1"/>
    </i>
    <i>
      <x v="2"/>
    </i>
    <i>
      <x v="3"/>
    </i>
    <i t="grand">
      <x/>
    </i>
  </rowItems>
  <colItems count="1">
    <i/>
  </colItems>
  <dataFields count="1">
    <dataField name="CTR" fld="10" subtotal="average" baseField="0" baseItem="0"/>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15B8440-0011-497F-84F4-F47B093D5020}" name="PivotTable42" cacheId="6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Q2:R3" firstHeaderRow="0" firstDataRow="1" firstDataCol="0"/>
  <pivotFields count="19">
    <pivotField compact="0" numFmtId="14" outline="0" showAll="0"/>
    <pivotField compact="0" outline="0" showAll="0">
      <items count="5">
        <item x="1"/>
        <item x="0"/>
        <item x="2"/>
        <item x="3"/>
        <item t="default"/>
      </items>
    </pivotField>
    <pivotField compact="0" outline="0" showAll="0">
      <items count="5">
        <item x="3"/>
        <item x="2"/>
        <item x="0"/>
        <item x="1"/>
        <item t="default"/>
      </items>
    </pivotField>
    <pivotField compact="0" outline="0" showAll="0">
      <items count="5">
        <item x="3"/>
        <item x="0"/>
        <item x="1"/>
        <item x="2"/>
        <item t="default"/>
      </items>
    </pivotField>
    <pivotField compact="0" outline="0" showAll="0">
      <items count="5">
        <item x="2"/>
        <item x="1"/>
        <item x="3"/>
        <item x="0"/>
        <item t="default"/>
      </items>
    </pivotField>
    <pivotField dataField="1"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numFmtId="9" outline="0" showAll="0"/>
    <pivotField compact="0" outline="0" showAll="0"/>
    <pivotField compact="0" numFmtId="164" outline="0" showAll="0"/>
    <pivotField compact="0" numFmtId="164" outline="0" showAll="0"/>
    <pivotField compact="0" outline="0" showAll="0"/>
    <pivotField compact="0" outline="0" showAll="0"/>
  </pivotFields>
  <rowItems count="1">
    <i/>
  </rowItems>
  <colFields count="1">
    <field x="-2"/>
  </colFields>
  <colItems count="2">
    <i>
      <x/>
    </i>
    <i i="1">
      <x v="1"/>
    </i>
  </colItems>
  <dataFields count="2">
    <dataField name="Sum of Spent" fld="5" baseField="0" baseItem="0"/>
    <dataField name="Sum of Revenue-" fld="9" baseField="0" baseItem="0"/>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3FA5A0B-0FF6-4AB0-86DF-44B0B057F54E}" name="PivotTable6" cacheId="6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D14:E19" firstHeaderRow="1" firstDataRow="1" firstDataCol="1"/>
  <pivotFields count="19">
    <pivotField compact="0" numFmtId="14" outline="0" showAll="0"/>
    <pivotField axis="axisRow" compact="0" outline="0" showAll="0">
      <items count="5">
        <item x="1"/>
        <item x="0"/>
        <item x="2"/>
        <item x="3"/>
        <item t="default"/>
      </items>
    </pivotField>
    <pivotField compact="0" outline="0" showAll="0">
      <items count="5">
        <item x="3"/>
        <item x="2"/>
        <item x="0"/>
        <item x="1"/>
        <item t="default"/>
      </items>
    </pivotField>
    <pivotField compact="0" outline="0" showAll="0">
      <items count="5">
        <item x="3"/>
        <item x="0"/>
        <item x="1"/>
        <item x="2"/>
        <item t="default"/>
      </items>
    </pivotField>
    <pivotField compact="0" outline="0" showAll="0">
      <items count="5">
        <item x="2"/>
        <item x="1"/>
        <item x="3"/>
        <item x="0"/>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numFmtId="9" outline="0" showAll="0"/>
    <pivotField compact="0" outline="0" showAll="0"/>
    <pivotField compact="0" numFmtId="164" outline="0" showAll="0"/>
    <pivotField compact="0" numFmtId="164" outline="0" showAll="0"/>
    <pivotField compact="0" outline="0" showAll="0"/>
    <pivotField compact="0" outline="0" showAll="0"/>
  </pivotFields>
  <rowFields count="1">
    <field x="1"/>
  </rowFields>
  <rowItems count="5">
    <i>
      <x/>
    </i>
    <i>
      <x v="1"/>
    </i>
    <i>
      <x v="2"/>
    </i>
    <i>
      <x v="3"/>
    </i>
    <i t="grand">
      <x/>
    </i>
  </rowItems>
  <colItems count="1">
    <i/>
  </colItems>
  <dataFields count="1">
    <dataField name="Revenue" fld="9" baseField="0" baseItem="0"/>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BE61FA3-3170-4640-8604-9FB6E86C0955}" name="PivotTable34" cacheId="6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M38:O43" firstHeaderRow="0" firstDataRow="1" firstDataCol="1"/>
  <pivotFields count="19">
    <pivotField compact="0" numFmtId="14" outline="0" showAll="0"/>
    <pivotField compact="0" outline="0" showAll="0">
      <items count="5">
        <item x="1"/>
        <item x="0"/>
        <item x="2"/>
        <item x="3"/>
        <item t="default"/>
      </items>
    </pivotField>
    <pivotField compact="0" outline="0" showAll="0">
      <items count="5">
        <item x="3"/>
        <item x="2"/>
        <item x="0"/>
        <item x="1"/>
        <item t="default"/>
      </items>
    </pivotField>
    <pivotField axis="axisRow" compact="0" outline="0" showAll="0">
      <items count="5">
        <item x="3"/>
        <item x="0"/>
        <item x="1"/>
        <item x="2"/>
        <item t="default"/>
      </items>
    </pivotField>
    <pivotField compact="0" outline="0" showAll="0">
      <items count="5">
        <item x="2"/>
        <item x="1"/>
        <item x="3"/>
        <item x="0"/>
        <item t="default"/>
      </items>
    </pivotField>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9" outline="0" showAll="0"/>
    <pivotField compact="0" outline="0" showAll="0"/>
    <pivotField compact="0" numFmtId="164" outline="0" showAll="0"/>
    <pivotField dataField="1" compact="0" numFmtId="164" outline="0" showAll="0"/>
    <pivotField compact="0" outline="0" showAll="0"/>
    <pivotField compact="0" outline="0" showAll="0"/>
  </pivotFields>
  <rowFields count="1">
    <field x="3"/>
  </rowFields>
  <rowItems count="5">
    <i>
      <x/>
    </i>
    <i>
      <x v="1"/>
    </i>
    <i>
      <x v="2"/>
    </i>
    <i>
      <x v="3"/>
    </i>
    <i t="grand">
      <x/>
    </i>
  </rowItems>
  <colFields count="1">
    <field x="-2"/>
  </colFields>
  <colItems count="2">
    <i>
      <x/>
    </i>
    <i i="1">
      <x v="1"/>
    </i>
  </colItems>
  <dataFields count="2">
    <dataField name="Sum of Spent" fld="5" baseField="0" baseItem="0"/>
    <dataField name="Sum of Profit" fld="16" baseField="0" baseItem="0" numFmtId="164"/>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1860378-7E9E-43B0-8EBB-2DA9FA73680C}" name="PivotTable31" cacheId="6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Z62:AB67" firstHeaderRow="0" firstDataRow="1" firstDataCol="1"/>
  <pivotFields count="19">
    <pivotField compact="0" numFmtId="14" outline="0" showAll="0"/>
    <pivotField compact="0" outline="0" showAll="0">
      <items count="5">
        <item x="1"/>
        <item x="0"/>
        <item x="2"/>
        <item x="3"/>
        <item t="default"/>
      </items>
    </pivotField>
    <pivotField axis="axisRow" compact="0" outline="0" showAll="0">
      <items count="5">
        <item x="3"/>
        <item x="2"/>
        <item x="0"/>
        <item x="1"/>
        <item t="default"/>
      </items>
    </pivotField>
    <pivotField compact="0" outline="0" showAll="0">
      <items count="5">
        <item x="3"/>
        <item x="0"/>
        <item x="1"/>
        <item x="2"/>
        <item t="default"/>
      </items>
    </pivotField>
    <pivotField compact="0" outline="0" showAll="0">
      <items count="5">
        <item x="2"/>
        <item x="1"/>
        <item x="3"/>
        <item x="0"/>
        <item t="default"/>
      </items>
    </pivotField>
    <pivotField compact="0" outline="0" showAll="0"/>
    <pivotField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 compact="0" numFmtId="9" outline="0" showAll="0"/>
    <pivotField compact="0" outline="0" showAll="0"/>
    <pivotField compact="0" numFmtId="164" outline="0" showAll="0"/>
    <pivotField compact="0" numFmtId="164" outline="0" showAll="0"/>
    <pivotField compact="0" outline="0" showAll="0"/>
    <pivotField compact="0" outline="0" showAll="0"/>
  </pivotFields>
  <rowFields count="1">
    <field x="2"/>
  </rowFields>
  <rowItems count="5">
    <i>
      <x/>
    </i>
    <i>
      <x v="1"/>
    </i>
    <i>
      <x v="2"/>
    </i>
    <i>
      <x v="3"/>
    </i>
    <i t="grand">
      <x/>
    </i>
  </rowItems>
  <colFields count="1">
    <field x="-2"/>
  </colFields>
  <colItems count="2">
    <i>
      <x/>
    </i>
    <i i="1">
      <x v="1"/>
    </i>
  </colItems>
  <dataFields count="2">
    <dataField name="Sum of Clicks-" fld="7" baseField="0" baseItem="0"/>
    <dataField name="Sum of Conversions-" fld="8" baseField="0" baseItem="0"/>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B6E1EC2-3F11-4A2F-AABF-155508AB8669}" name="PivotTable3" cacheId="6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G6:H11" firstHeaderRow="1" firstDataRow="1" firstDataCol="1"/>
  <pivotFields count="19">
    <pivotField compact="0" numFmtId="14" outline="0" showAll="0"/>
    <pivotField compact="0" outline="0" showAll="0">
      <items count="5">
        <item x="1"/>
        <item x="0"/>
        <item x="2"/>
        <item x="3"/>
        <item t="default"/>
      </items>
    </pivotField>
    <pivotField axis="axisRow" compact="0" outline="0" showAll="0">
      <items count="5">
        <item x="3"/>
        <item x="2"/>
        <item x="0"/>
        <item x="1"/>
        <item t="default"/>
      </items>
    </pivotField>
    <pivotField compact="0" outline="0" showAll="0">
      <items count="5">
        <item x="3"/>
        <item x="0"/>
        <item x="1"/>
        <item x="2"/>
        <item t="default"/>
      </items>
    </pivotField>
    <pivotField compact="0" outline="0" showAll="0">
      <items count="5">
        <item x="2"/>
        <item x="1"/>
        <item x="3"/>
        <item x="0"/>
        <item t="default"/>
      </items>
    </pivotField>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9" outline="0" showAll="0"/>
    <pivotField compact="0" outline="0" showAll="0"/>
    <pivotField compact="0" numFmtId="164" outline="0" showAll="0"/>
    <pivotField compact="0" numFmtId="164" outline="0" showAll="0"/>
    <pivotField compact="0" outline="0" showAll="0"/>
    <pivotField compact="0" outline="0" showAll="0"/>
  </pivotFields>
  <rowFields count="1">
    <field x="2"/>
  </rowFields>
  <rowItems count="5">
    <i>
      <x/>
    </i>
    <i>
      <x v="1"/>
    </i>
    <i>
      <x v="2"/>
    </i>
    <i>
      <x v="3"/>
    </i>
    <i t="grand">
      <x/>
    </i>
  </rowItems>
  <colItems count="1">
    <i/>
  </colItems>
  <dataFields count="1">
    <dataField name="Spend" fld="5" baseField="0" baseItem="0"/>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92BEBD5-94C1-4809-90D5-8169404AC476}" name="PivotTable26" cacheId="6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E62:G67" firstHeaderRow="0" firstDataRow="1" firstDataCol="1"/>
  <pivotFields count="19">
    <pivotField compact="0" numFmtId="14" outline="0" showAll="0"/>
    <pivotField axis="axisRow" compact="0" outline="0" showAll="0">
      <items count="5">
        <item x="1"/>
        <item x="0"/>
        <item x="2"/>
        <item x="3"/>
        <item t="default"/>
      </items>
    </pivotField>
    <pivotField compact="0" outline="0" showAll="0">
      <items count="5">
        <item x="3"/>
        <item x="2"/>
        <item x="0"/>
        <item x="1"/>
        <item t="default"/>
      </items>
    </pivotField>
    <pivotField compact="0" outline="0" showAll="0">
      <items count="5">
        <item x="3"/>
        <item x="0"/>
        <item x="1"/>
        <item x="2"/>
        <item t="default"/>
      </items>
    </pivotField>
    <pivotField compact="0" outline="0" showAll="0">
      <items count="5">
        <item x="2"/>
        <item x="1"/>
        <item x="3"/>
        <item x="0"/>
        <item t="default"/>
      </items>
    </pivotField>
    <pivotField dataField="1"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numFmtId="9" outline="0" showAll="0"/>
    <pivotField compact="0" outline="0" showAll="0"/>
    <pivotField compact="0" numFmtId="164" outline="0" showAll="0"/>
    <pivotField compact="0" numFmtId="164" outline="0" showAll="0"/>
    <pivotField compact="0" outline="0" showAll="0"/>
    <pivotField compact="0" outline="0" showAll="0"/>
  </pivotFields>
  <rowFields count="1">
    <field x="1"/>
  </rowFields>
  <rowItems count="5">
    <i>
      <x/>
    </i>
    <i>
      <x v="1"/>
    </i>
    <i>
      <x v="2"/>
    </i>
    <i>
      <x v="3"/>
    </i>
    <i t="grand">
      <x/>
    </i>
  </rowItems>
  <colFields count="1">
    <field x="-2"/>
  </colFields>
  <colItems count="2">
    <i>
      <x/>
    </i>
    <i i="1">
      <x v="1"/>
    </i>
  </colItems>
  <dataFields count="2">
    <dataField name="Sum of Spent" fld="5" baseField="0" baseItem="0"/>
    <dataField name="Sum of Revenue-" fld="9" baseField="0" baseItem="0"/>
  </dataFields>
  <formats count="1">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F598882-CD36-4F27-A62B-FCBD3065552C}" name="PivotTable18" cacheId="6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O9:O10" firstHeaderRow="1" firstDataRow="1" firstDataCol="0"/>
  <pivotFields count="19">
    <pivotField compact="0" numFmtId="14" outline="0" showAll="0"/>
    <pivotField compact="0" outline="0" showAll="0">
      <items count="5">
        <item x="1"/>
        <item x="0"/>
        <item x="2"/>
        <item x="3"/>
        <item t="default"/>
      </items>
    </pivotField>
    <pivotField compact="0" outline="0" showAll="0">
      <items count="5">
        <item x="3"/>
        <item x="2"/>
        <item x="0"/>
        <item x="1"/>
        <item t="default"/>
      </items>
    </pivotField>
    <pivotField compact="0" outline="0" showAll="0">
      <items count="5">
        <item x="3"/>
        <item x="0"/>
        <item x="1"/>
        <item x="2"/>
        <item t="default"/>
      </items>
    </pivotField>
    <pivotField compact="0" outline="0" showAll="0">
      <items count="5">
        <item x="2"/>
        <item x="1"/>
        <item x="3"/>
        <item x="0"/>
        <item t="default"/>
      </items>
    </pivotField>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numFmtId="9" outline="0" showAll="0"/>
    <pivotField compact="0" outline="0" showAll="0"/>
    <pivotField compact="0" numFmtId="164" outline="0" showAll="0"/>
    <pivotField compact="0" numFmtId="164" outline="0" showAll="0"/>
    <pivotField compact="0" outline="0" showAll="0"/>
    <pivotField compact="0" outline="0" showAll="0"/>
  </pivotFields>
  <rowItems count="1">
    <i/>
  </rowItems>
  <colItems count="1">
    <i/>
  </colItems>
  <dataFields count="1">
    <dataField name="CPC" fld="11" subtotal="average" baseField="0" baseItem="0" numFmtId="164"/>
  </dataFields>
  <formats count="1">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3FCEE07-0DFD-41C7-9EAA-52D3AF537387}" name="PivotTable44" cacheId="6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R8:S11" firstHeaderRow="1" firstDataRow="1" firstDataCol="1"/>
  <pivotFields count="19">
    <pivotField compact="0" numFmtId="14" outline="0" showAll="0"/>
    <pivotField compact="0" outline="0" showAll="0">
      <items count="5">
        <item x="1"/>
        <item x="0"/>
        <item x="2"/>
        <item x="3"/>
        <item t="default"/>
      </items>
    </pivotField>
    <pivotField compact="0" outline="0" showAll="0">
      <items count="5">
        <item x="3"/>
        <item x="2"/>
        <item x="0"/>
        <item x="1"/>
        <item t="default"/>
      </items>
    </pivotField>
    <pivotField compact="0" outline="0" showAll="0">
      <items count="5">
        <item x="3"/>
        <item x="0"/>
        <item x="1"/>
        <item x="2"/>
        <item t="default"/>
      </items>
    </pivotField>
    <pivotField compact="0" outline="0" showAll="0">
      <items count="5">
        <item x="2"/>
        <item x="1"/>
        <item x="3"/>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numFmtId="9" outline="0" showAll="0"/>
    <pivotField compact="0" outline="0" showAll="0"/>
    <pivotField compact="0" numFmtId="164" outline="0" showAll="0"/>
    <pivotField compact="0" numFmtId="164" outline="0" showAll="0"/>
    <pivotField compact="0" outline="0" showAll="0"/>
    <pivotField axis="axisRow" compact="0" outline="0" showAll="0">
      <items count="3">
        <item x="0"/>
        <item x="1"/>
        <item t="default"/>
      </items>
    </pivotField>
  </pivotFields>
  <rowFields count="1">
    <field x="18"/>
  </rowFields>
  <rowItems count="3">
    <i>
      <x/>
    </i>
    <i>
      <x v="1"/>
    </i>
    <i t="grand">
      <x/>
    </i>
  </rowItems>
  <colItems count="1">
    <i/>
  </colItems>
  <dataFields count="1">
    <dataField name="Average of ROI-" fld="12" subtotal="average" baseField="0" baseItem="0" numFmtId="9"/>
  </dataFields>
  <formats count="1">
    <format dxfId="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E60B11E-2995-4A71-8045-A67364877E44}" name="PivotTable12" cacheId="6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J22:K27" firstHeaderRow="1" firstDataRow="1" firstDataCol="1"/>
  <pivotFields count="19">
    <pivotField compact="0" numFmtId="14" outline="0" showAll="0"/>
    <pivotField compact="0" outline="0" showAll="0">
      <items count="5">
        <item x="1"/>
        <item x="0"/>
        <item x="2"/>
        <item x="3"/>
        <item t="default"/>
      </items>
    </pivotField>
    <pivotField compact="0" outline="0" showAll="0">
      <items count="5">
        <item x="3"/>
        <item x="2"/>
        <item x="0"/>
        <item x="1"/>
        <item t="default"/>
      </items>
    </pivotField>
    <pivotField compact="0" outline="0" showAll="0">
      <items count="5">
        <item x="3"/>
        <item x="0"/>
        <item x="1"/>
        <item x="2"/>
        <item t="default"/>
      </items>
    </pivotField>
    <pivotField axis="axisRow" compact="0" outline="0" showAll="0">
      <items count="5">
        <item x="2"/>
        <item x="1"/>
        <item x="3"/>
        <item x="0"/>
        <item t="default"/>
      </items>
    </pivotField>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numFmtId="9" outline="0" showAll="0"/>
    <pivotField compact="0" outline="0" showAll="0"/>
    <pivotField compact="0" numFmtId="164" outline="0" showAll="0"/>
    <pivotField compact="0" numFmtId="164" outline="0" showAll="0"/>
    <pivotField compact="0" outline="0" showAll="0"/>
    <pivotField compact="0" outline="0" showAll="0"/>
  </pivotFields>
  <rowFields count="1">
    <field x="4"/>
  </rowFields>
  <rowItems count="5">
    <i>
      <x/>
    </i>
    <i>
      <x v="1"/>
    </i>
    <i>
      <x v="2"/>
    </i>
    <i>
      <x v="3"/>
    </i>
    <i t="grand">
      <x/>
    </i>
  </rowItems>
  <colItems count="1">
    <i/>
  </colItems>
  <dataFields count="1">
    <dataField name="Total Clicks" fld="7" baseField="0" baseItem="0"/>
  </dataFields>
  <formats count="1">
    <format dxfId="1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3FD4A30-513C-4F81-93CB-7828B4F14A25}" name="PivotTable5" cacheId="6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A14:C19" firstHeaderRow="0" firstDataRow="1" firstDataCol="1"/>
  <pivotFields count="19">
    <pivotField compact="0" numFmtId="14" outline="0" showAll="0"/>
    <pivotField compact="0" outline="0" showAll="0">
      <items count="5">
        <item x="1"/>
        <item x="0"/>
        <item x="2"/>
        <item x="3"/>
        <item t="default"/>
      </items>
    </pivotField>
    <pivotField compact="0" outline="0" showAll="0">
      <items count="5">
        <item x="3"/>
        <item x="2"/>
        <item x="0"/>
        <item x="1"/>
        <item t="default"/>
      </items>
    </pivotField>
    <pivotField axis="axisRow" compact="0" outline="0" showAll="0">
      <items count="5">
        <item x="3"/>
        <item x="0"/>
        <item x="1"/>
        <item x="2"/>
        <item t="default"/>
      </items>
    </pivotField>
    <pivotField compact="0" outline="0" showAll="0">
      <items count="5">
        <item x="2"/>
        <item x="1"/>
        <item x="3"/>
        <item x="0"/>
        <item t="default"/>
      </items>
    </pivotField>
    <pivotField dataField="1"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numFmtId="9" outline="0" showAll="0"/>
    <pivotField compact="0" outline="0" showAll="0"/>
    <pivotField compact="0" numFmtId="164" outline="0" showAll="0"/>
    <pivotField compact="0" numFmtId="164" outline="0" showAll="0"/>
    <pivotField compact="0" outline="0" showAll="0"/>
    <pivotField compact="0" outline="0" showAll="0"/>
  </pivotFields>
  <rowFields count="1">
    <field x="3"/>
  </rowFields>
  <rowItems count="5">
    <i>
      <x/>
    </i>
    <i>
      <x v="1"/>
    </i>
    <i>
      <x v="2"/>
    </i>
    <i>
      <x v="3"/>
    </i>
    <i t="grand">
      <x/>
    </i>
  </rowItems>
  <colFields count="1">
    <field x="-2"/>
  </colFields>
  <colItems count="2">
    <i>
      <x/>
    </i>
    <i i="1">
      <x v="1"/>
    </i>
  </colItems>
  <dataFields count="2">
    <dataField name="Spend" fld="5" baseField="0" baseItem="0"/>
    <dataField name="Revenue" fld="9" baseField="0" baseItem="0"/>
  </dataFields>
  <formats count="1">
    <format dxfId="16">
      <pivotArea outline="0" collapsedLevelsAreSubtotals="1" fieldPosition="0"/>
    </format>
  </formats>
  <chartFormats count="12">
    <chartFormat chart="1" format="2" series="1">
      <pivotArea type="data" outline="0" fieldPosition="0">
        <references count="1">
          <reference field="4294967294" count="1" selected="0">
            <x v="1"/>
          </reference>
        </references>
      </pivotArea>
    </chartFormat>
    <chartFormat chart="1" format="3"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1"/>
          </reference>
        </references>
      </pivotArea>
    </chartFormat>
    <chartFormat chart="2" format="5"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1"/>
          </reference>
        </references>
      </pivotArea>
    </chartFormat>
    <chartFormat chart="3" format="7"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1"/>
          </reference>
        </references>
      </pivotArea>
    </chartFormat>
    <chartFormat chart="8" format="16" series="1">
      <pivotArea type="data" outline="0" fieldPosition="0">
        <references count="1">
          <reference field="4294967294" count="1" selected="0">
            <x v="0"/>
          </reference>
        </references>
      </pivotArea>
    </chartFormat>
    <chartFormat chart="8" format="17" series="1">
      <pivotArea type="data" outline="0" fieldPosition="0">
        <references count="1">
          <reference field="4294967294" count="1" selected="0">
            <x v="1"/>
          </reference>
        </references>
      </pivotArea>
    </chartFormat>
    <chartFormat chart="9" format="22" series="1">
      <pivotArea type="data" outline="0" fieldPosition="0">
        <references count="1">
          <reference field="4294967294" count="1" selected="0">
            <x v="0"/>
          </reference>
        </references>
      </pivotArea>
    </chartFormat>
    <chartFormat chart="9" format="2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88ADC99F-0093-4450-93A3-EC75D11418D2}" name="PivotTable36" cacheId="6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U38:W43" firstHeaderRow="0" firstDataRow="1" firstDataCol="1"/>
  <pivotFields count="19">
    <pivotField compact="0" numFmtId="14" outline="0" showAll="0"/>
    <pivotField compact="0" outline="0" showAll="0">
      <items count="5">
        <item x="1"/>
        <item x="0"/>
        <item x="2"/>
        <item x="3"/>
        <item t="default"/>
      </items>
    </pivotField>
    <pivotField axis="axisRow" compact="0" outline="0" showAll="0">
      <items count="5">
        <item x="3"/>
        <item x="2"/>
        <item x="0"/>
        <item x="1"/>
        <item t="default"/>
      </items>
    </pivotField>
    <pivotField compact="0" outline="0" showAll="0">
      <items count="5">
        <item x="3"/>
        <item x="0"/>
        <item x="1"/>
        <item x="2"/>
        <item t="default"/>
      </items>
    </pivotField>
    <pivotField compact="0" outline="0" showAll="0">
      <items count="5">
        <item x="2"/>
        <item x="1"/>
        <item x="3"/>
        <item x="0"/>
        <item t="default"/>
      </items>
    </pivotField>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9" outline="0" showAll="0"/>
    <pivotField compact="0" outline="0" showAll="0"/>
    <pivotField compact="0" numFmtId="164" outline="0" showAll="0"/>
    <pivotField dataField="1" compact="0" numFmtId="164" outline="0" showAll="0"/>
    <pivotField compact="0" outline="0" showAll="0"/>
    <pivotField compact="0" outline="0" showAll="0"/>
  </pivotFields>
  <rowFields count="1">
    <field x="2"/>
  </rowFields>
  <rowItems count="5">
    <i>
      <x/>
    </i>
    <i>
      <x v="1"/>
    </i>
    <i>
      <x v="2"/>
    </i>
    <i>
      <x v="3"/>
    </i>
    <i t="grand">
      <x/>
    </i>
  </rowItems>
  <colFields count="1">
    <field x="-2"/>
  </colFields>
  <colItems count="2">
    <i>
      <x/>
    </i>
    <i i="1">
      <x v="1"/>
    </i>
  </colItems>
  <dataFields count="2">
    <dataField name="Sum of Spent" fld="5" baseField="0" baseItem="0"/>
    <dataField name="Sum of Profit" fld="16" baseField="0" baseItem="0" numFmtId="164"/>
  </dataFields>
  <formats count="1">
    <format dxfId="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C8597351-A5D3-44F7-8D40-4EC0C2246F39}" name="PivotTable17" cacheId="6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M9:M10" firstHeaderRow="1" firstDataRow="1" firstDataCol="0"/>
  <pivotFields count="19">
    <pivotField compact="0" numFmtId="14" outline="0" showAll="0"/>
    <pivotField compact="0" outline="0" showAll="0">
      <items count="5">
        <item x="1"/>
        <item x="0"/>
        <item x="2"/>
        <item x="3"/>
        <item t="default"/>
      </items>
    </pivotField>
    <pivotField compact="0" outline="0" showAll="0">
      <items count="5">
        <item x="3"/>
        <item x="2"/>
        <item x="0"/>
        <item x="1"/>
        <item t="default"/>
      </items>
    </pivotField>
    <pivotField compact="0" outline="0" showAll="0">
      <items count="5">
        <item x="3"/>
        <item x="0"/>
        <item x="1"/>
        <item x="2"/>
        <item t="default"/>
      </items>
    </pivotField>
    <pivotField compact="0" outline="0" showAll="0">
      <items count="5">
        <item x="2"/>
        <item x="1"/>
        <item x="3"/>
        <item x="0"/>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numFmtId="9" outline="0" showAll="0"/>
    <pivotField compact="0" outline="0" showAll="0"/>
    <pivotField compact="0" numFmtId="164" outline="0" showAll="0"/>
    <pivotField compact="0" numFmtId="164" outline="0" showAll="0"/>
    <pivotField compact="0" outline="0" showAll="0"/>
    <pivotField compact="0" outline="0" showAll="0"/>
  </pivotFields>
  <rowItems count="1">
    <i/>
  </rowItems>
  <colItems count="1">
    <i/>
  </colItems>
  <dataFields count="1">
    <dataField name="CTR" fld="10" subtotal="average" baseField="0" baseItem="0"/>
  </dataFields>
  <formats count="1">
    <format dxfId="1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9A024079-B996-4FEB-9DA6-D4231F956053}" name="PivotTable43" cacheId="6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8">
  <location ref="A116:D121" firstHeaderRow="0" firstDataRow="1" firstDataCol="1"/>
  <pivotFields count="19">
    <pivotField compact="0" numFmtId="14" outline="0" showAll="0"/>
    <pivotField compact="0" outline="0" showAll="0">
      <items count="5">
        <item x="1"/>
        <item x="0"/>
        <item x="2"/>
        <item x="3"/>
        <item t="default"/>
      </items>
    </pivotField>
    <pivotField compact="0" outline="0" showAll="0">
      <items count="5">
        <item x="3"/>
        <item x="2"/>
        <item x="0"/>
        <item x="1"/>
        <item t="default"/>
      </items>
    </pivotField>
    <pivotField axis="axisRow" compact="0" outline="0" showAll="0">
      <items count="5">
        <item x="3"/>
        <item x="0"/>
        <item x="1"/>
        <item x="2"/>
        <item t="default"/>
      </items>
    </pivotField>
    <pivotField compact="0" outline="0" showAll="0">
      <items count="5">
        <item x="2"/>
        <item x="1"/>
        <item x="3"/>
        <item x="0"/>
        <item t="default"/>
      </items>
    </pivotField>
    <pivotField dataField="1" compact="0" outline="0" showAll="0"/>
    <pivotField compact="0" outline="0" showAll="0"/>
    <pivotField compact="0" outline="0" showAll="0"/>
    <pivotField dataField="1" compact="0" outline="0" showAll="0"/>
    <pivotField dataField="1" compact="0" outline="0" showAll="0"/>
    <pivotField compact="0" outline="0" showAll="0"/>
    <pivotField compact="0" outline="0" showAll="0"/>
    <pivotField compact="0" outline="0" showAll="0"/>
    <pivotField compact="0" numFmtId="9" outline="0" showAll="0"/>
    <pivotField compact="0" outline="0" showAll="0"/>
    <pivotField compact="0" numFmtId="164" outline="0" showAll="0"/>
    <pivotField compact="0" numFmtId="164" outline="0" showAll="0"/>
    <pivotField compact="0" outline="0" showAll="0"/>
    <pivotField compact="0" outline="0" showAll="0"/>
  </pivotFields>
  <rowFields count="1">
    <field x="3"/>
  </rowFields>
  <rowItems count="5">
    <i>
      <x/>
    </i>
    <i>
      <x v="1"/>
    </i>
    <i>
      <x v="2"/>
    </i>
    <i>
      <x v="3"/>
    </i>
    <i t="grand">
      <x/>
    </i>
  </rowItems>
  <colFields count="1">
    <field x="-2"/>
  </colFields>
  <colItems count="3">
    <i>
      <x/>
    </i>
    <i i="1">
      <x v="1"/>
    </i>
    <i i="2">
      <x v="2"/>
    </i>
  </colItems>
  <dataFields count="3">
    <dataField name="Spend" fld="5" baseField="0" baseItem="0"/>
    <dataField name="Conversions" fld="8" baseField="0" baseItem="0"/>
    <dataField name="Revenue" fld="9" baseField="0" baseItem="0"/>
  </dataFields>
  <formats count="1">
    <format dxfId="19">
      <pivotArea outline="0" collapsedLevelsAreSubtotals="1" fieldPosition="0"/>
    </format>
  </formats>
  <chartFormats count="8">
    <chartFormat chart="8"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1"/>
          </reference>
        </references>
      </pivotArea>
    </chartFormat>
    <chartFormat chart="16" format="2" series="1">
      <pivotArea type="data" outline="0" fieldPosition="0">
        <references count="1">
          <reference field="4294967294" count="1" selected="0">
            <x v="2"/>
          </reference>
        </references>
      </pivotArea>
    </chartFormat>
    <chartFormat chart="20" format="52" series="1">
      <pivotArea type="data" outline="0" fieldPosition="0">
        <references count="1">
          <reference field="4294967294" count="1" selected="0">
            <x v="0"/>
          </reference>
        </references>
      </pivotArea>
    </chartFormat>
    <chartFormat chart="20" format="53" series="1">
      <pivotArea type="data" outline="0" fieldPosition="0">
        <references count="1">
          <reference field="4294967294" count="1" selected="0">
            <x v="2"/>
          </reference>
        </references>
      </pivotArea>
    </chartFormat>
    <chartFormat chart="20" format="54"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3FB48D79-855B-4697-B999-CF272894312F}" name="PivotTable27" cacheId="6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I62:K67" firstHeaderRow="0" firstDataRow="1" firstDataCol="1"/>
  <pivotFields count="19">
    <pivotField compact="0" numFmtId="14" outline="0" showAll="0"/>
    <pivotField compact="0" outline="0" showAll="0">
      <items count="5">
        <item x="1"/>
        <item x="0"/>
        <item x="2"/>
        <item x="3"/>
        <item t="default"/>
      </items>
    </pivotField>
    <pivotField axis="axisRow" compact="0" outline="0" showAll="0">
      <items count="5">
        <item x="3"/>
        <item x="2"/>
        <item x="0"/>
        <item x="1"/>
        <item t="default"/>
      </items>
    </pivotField>
    <pivotField compact="0" outline="0" showAll="0">
      <items count="5">
        <item x="3"/>
        <item x="0"/>
        <item x="1"/>
        <item x="2"/>
        <item t="default"/>
      </items>
    </pivotField>
    <pivotField compact="0" outline="0" showAll="0">
      <items count="5">
        <item x="2"/>
        <item x="1"/>
        <item x="3"/>
        <item x="0"/>
        <item t="default"/>
      </items>
    </pivotField>
    <pivotField dataField="1"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numFmtId="9" outline="0" showAll="0"/>
    <pivotField compact="0" outline="0" showAll="0"/>
    <pivotField compact="0" numFmtId="164" outline="0" showAll="0"/>
    <pivotField compact="0" numFmtId="164" outline="0" showAll="0"/>
    <pivotField compact="0" outline="0" showAll="0"/>
    <pivotField compact="0" outline="0" showAll="0"/>
  </pivotFields>
  <rowFields count="1">
    <field x="2"/>
  </rowFields>
  <rowItems count="5">
    <i>
      <x/>
    </i>
    <i>
      <x v="1"/>
    </i>
    <i>
      <x v="2"/>
    </i>
    <i>
      <x v="3"/>
    </i>
    <i t="grand">
      <x/>
    </i>
  </rowItems>
  <colFields count="1">
    <field x="-2"/>
  </colFields>
  <colItems count="2">
    <i>
      <x/>
    </i>
    <i i="1">
      <x v="1"/>
    </i>
  </colItems>
  <dataFields count="2">
    <dataField name="Sum of Spent" fld="5" baseField="0" baseItem="0"/>
    <dataField name="Sum of Revenue-" fld="9" baseField="0" baseItem="0"/>
  </dataFields>
  <formats count="1">
    <format dxfId="2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77AE7092-502A-4A46-8E45-CFA7099B7C88}" name="PivotTable38" cacheId="6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4">
  <location ref="A2:A3" firstHeaderRow="1" firstDataRow="1" firstDataCol="0"/>
  <pivotFields count="19">
    <pivotField compact="0" numFmtId="14" outline="0" showAll="0"/>
    <pivotField compact="0" outline="0" showAll="0">
      <items count="5">
        <item x="1"/>
        <item x="0"/>
        <item x="2"/>
        <item x="3"/>
        <item t="default"/>
      </items>
    </pivotField>
    <pivotField compact="0" outline="0" showAll="0">
      <items count="5">
        <item x="3"/>
        <item x="2"/>
        <item x="0"/>
        <item x="1"/>
        <item t="default"/>
      </items>
    </pivotField>
    <pivotField compact="0" outline="0" showAll="0">
      <items count="5">
        <item x="3"/>
        <item x="0"/>
        <item x="1"/>
        <item x="2"/>
        <item t="default"/>
      </items>
    </pivotField>
    <pivotField compact="0" outline="0" showAll="0">
      <items count="5">
        <item x="2"/>
        <item x="1"/>
        <item x="3"/>
        <item x="0"/>
        <item t="default"/>
      </items>
    </pivotField>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9" outline="0" showAll="0"/>
    <pivotField compact="0" outline="0" showAll="0"/>
    <pivotField compact="0" numFmtId="164" outline="0" showAll="0"/>
    <pivotField compact="0" numFmtId="164" outline="0" showAll="0"/>
    <pivotField compact="0" outline="0" showAll="0"/>
    <pivotField compact="0" outline="0" showAll="0"/>
  </pivotFields>
  <rowItems count="1">
    <i/>
  </rowItems>
  <colItems count="1">
    <i/>
  </colItems>
  <dataFields count="1">
    <dataField name="Total Marketing Spend" fld="5" baseField="0" baseItem="0" numFmtId="165"/>
  </dataFields>
  <formats count="1">
    <format dxfId="21">
      <pivotArea outline="0" collapsedLevelsAreSubtotals="1" fieldPosition="0"/>
    </format>
  </formats>
  <chartFormats count="2">
    <chartFormat chart="8" format="1"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4EC1961E-BAEC-45F4-9F97-7257579C2091}" name="PivotTable39" cacheId="6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4">
  <location ref="C2:C3" firstHeaderRow="1" firstDataRow="1" firstDataCol="0"/>
  <pivotFields count="19">
    <pivotField compact="0" numFmtId="14" outline="0" showAll="0"/>
    <pivotField compact="0" outline="0" showAll="0">
      <items count="5">
        <item x="1"/>
        <item x="0"/>
        <item x="2"/>
        <item x="3"/>
        <item t="default"/>
      </items>
    </pivotField>
    <pivotField compact="0" outline="0" showAll="0">
      <items count="5">
        <item x="3"/>
        <item x="2"/>
        <item x="0"/>
        <item x="1"/>
        <item t="default"/>
      </items>
    </pivotField>
    <pivotField compact="0" outline="0" showAll="0">
      <items count="5">
        <item x="3"/>
        <item x="0"/>
        <item x="1"/>
        <item x="2"/>
        <item t="default"/>
      </items>
    </pivotField>
    <pivotField compact="0" outline="0" showAll="0">
      <items count="5">
        <item x="2"/>
        <item x="1"/>
        <item x="3"/>
        <item x="0"/>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numFmtId="9" outline="0" showAll="0"/>
    <pivotField compact="0" outline="0" showAll="0"/>
    <pivotField compact="0" numFmtId="164" outline="0" showAll="0"/>
    <pivotField compact="0" numFmtId="164" outline="0" showAll="0"/>
    <pivotField compact="0" outline="0" showAll="0"/>
    <pivotField compact="0" outline="0" showAll="0"/>
  </pivotFields>
  <rowItems count="1">
    <i/>
  </rowItems>
  <colItems count="1">
    <i/>
  </colItems>
  <dataFields count="1">
    <dataField name="Total Revenue" fld="9" baseField="0" baseItem="0" numFmtId="165"/>
  </dataFields>
  <formats count="1">
    <format dxfId="2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B38522F9-29F2-4FF3-A4FB-993885C9E00D}" name="PivotTable1" cacheId="6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4">
  <location ref="A6:B11" firstHeaderRow="1" firstDataRow="1" firstDataCol="1"/>
  <pivotFields count="19">
    <pivotField compact="0" numFmtId="14" outline="0" showAll="0"/>
    <pivotField compact="0" outline="0" showAll="0">
      <items count="5">
        <item x="1"/>
        <item x="0"/>
        <item x="2"/>
        <item x="3"/>
        <item t="default"/>
      </items>
    </pivotField>
    <pivotField compact="0" outline="0" showAll="0">
      <items count="5">
        <item x="3"/>
        <item x="2"/>
        <item x="0"/>
        <item x="1"/>
        <item t="default"/>
      </items>
    </pivotField>
    <pivotField axis="axisRow" compact="0" outline="0" showAll="0">
      <items count="5">
        <item x="3"/>
        <item x="0"/>
        <item x="1"/>
        <item x="2"/>
        <item t="default"/>
      </items>
    </pivotField>
    <pivotField compact="0" outline="0" showAll="0">
      <items count="5">
        <item x="2"/>
        <item x="1"/>
        <item x="3"/>
        <item x="0"/>
        <item t="default"/>
      </items>
    </pivotField>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9" outline="0" showAll="0"/>
    <pivotField compact="0" outline="0" showAll="0"/>
    <pivotField compact="0" numFmtId="164" outline="0" showAll="0"/>
    <pivotField compact="0" numFmtId="164" outline="0" showAll="0"/>
    <pivotField compact="0" outline="0" showAll="0"/>
    <pivotField compact="0" outline="0" showAll="0"/>
  </pivotFields>
  <rowFields count="1">
    <field x="3"/>
  </rowFields>
  <rowItems count="5">
    <i>
      <x/>
    </i>
    <i>
      <x v="1"/>
    </i>
    <i>
      <x v="2"/>
    </i>
    <i>
      <x v="3"/>
    </i>
    <i t="grand">
      <x/>
    </i>
  </rowItems>
  <colItems count="1">
    <i/>
  </colItems>
  <dataFields count="1">
    <dataField name="Spend" fld="5" baseField="0" baseItem="0"/>
  </dataFields>
  <formats count="1">
    <format dxfId="23">
      <pivotArea outline="0" collapsedLevelsAreSubtotals="1" fieldPosition="0"/>
    </format>
  </formats>
  <chartFormats count="2">
    <chartFormat chart="8"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05A06508-6980-41A7-A3D1-0F257CD788DF}" name="PivotTable7" cacheId="6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8">
  <location ref="G14:I19" firstHeaderRow="0" firstDataRow="1" firstDataCol="1"/>
  <pivotFields count="19">
    <pivotField compact="0" numFmtId="14" outline="0" showAll="0"/>
    <pivotField compact="0" outline="0" showAll="0">
      <items count="5">
        <item x="1"/>
        <item x="0"/>
        <item x="2"/>
        <item x="3"/>
        <item t="default"/>
      </items>
    </pivotField>
    <pivotField axis="axisRow" compact="0" outline="0" showAll="0">
      <items count="5">
        <item x="3"/>
        <item x="2"/>
        <item x="0"/>
        <item x="1"/>
        <item t="default"/>
      </items>
    </pivotField>
    <pivotField compact="0" outline="0" showAll="0">
      <items count="5">
        <item x="3"/>
        <item x="0"/>
        <item x="1"/>
        <item x="2"/>
        <item t="default"/>
      </items>
    </pivotField>
    <pivotField compact="0" outline="0" showAll="0">
      <items count="5">
        <item x="2"/>
        <item x="1"/>
        <item x="3"/>
        <item x="0"/>
        <item t="default"/>
      </items>
    </pivotField>
    <pivotField dataField="1"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numFmtId="9" outline="0" showAll="0"/>
    <pivotField compact="0" outline="0" showAll="0"/>
    <pivotField compact="0" numFmtId="164" outline="0" showAll="0"/>
    <pivotField compact="0" numFmtId="164" outline="0" showAll="0"/>
    <pivotField compact="0" outline="0" showAll="0"/>
    <pivotField compact="0" outline="0" showAll="0"/>
  </pivotFields>
  <rowFields count="1">
    <field x="2"/>
  </rowFields>
  <rowItems count="5">
    <i>
      <x/>
    </i>
    <i>
      <x v="1"/>
    </i>
    <i>
      <x v="2"/>
    </i>
    <i>
      <x v="3"/>
    </i>
    <i t="grand">
      <x/>
    </i>
  </rowItems>
  <colFields count="1">
    <field x="-2"/>
  </colFields>
  <colItems count="2">
    <i>
      <x/>
    </i>
    <i i="1">
      <x v="1"/>
    </i>
  </colItems>
  <dataFields count="2">
    <dataField name="Spend" fld="5" baseField="0" baseItem="0"/>
    <dataField name="Revenue" fld="9" baseField="0" baseItem="0"/>
  </dataFields>
  <formats count="1">
    <format dxfId="24">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4" format="20" series="1">
      <pivotArea type="data" outline="0" fieldPosition="0">
        <references count="1">
          <reference field="4294967294" count="1" selected="0">
            <x v="0"/>
          </reference>
        </references>
      </pivotArea>
    </chartFormat>
    <chartFormat chart="4" format="2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7C72F98C-E89C-4BAD-B88F-E5F16A4272CF}" name="PivotTable11" cacheId="6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G22:H27" firstHeaderRow="1" firstDataRow="1" firstDataCol="1"/>
  <pivotFields count="19">
    <pivotField compact="0" numFmtId="14" outline="0" showAll="0"/>
    <pivotField compact="0" outline="0" showAll="0">
      <items count="5">
        <item x="1"/>
        <item x="0"/>
        <item x="2"/>
        <item x="3"/>
        <item t="default"/>
      </items>
    </pivotField>
    <pivotField compact="0" outline="0" showAll="0">
      <items count="5">
        <item x="3"/>
        <item x="2"/>
        <item x="0"/>
        <item x="1"/>
        <item t="default"/>
      </items>
    </pivotField>
    <pivotField axis="axisRow" compact="0" outline="0" showAll="0">
      <items count="5">
        <item x="3"/>
        <item x="0"/>
        <item x="1"/>
        <item x="2"/>
        <item t="default"/>
      </items>
    </pivotField>
    <pivotField compact="0" outline="0" showAll="0">
      <items count="5">
        <item x="2"/>
        <item x="1"/>
        <item x="3"/>
        <item x="0"/>
        <item t="default"/>
      </items>
    </pivotField>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numFmtId="9" outline="0" showAll="0"/>
    <pivotField compact="0" outline="0" showAll="0"/>
    <pivotField compact="0" numFmtId="164" outline="0" showAll="0"/>
    <pivotField compact="0" numFmtId="164" outline="0" showAll="0"/>
    <pivotField compact="0" outline="0" showAll="0"/>
    <pivotField compact="0" outline="0" showAll="0"/>
  </pivotFields>
  <rowFields count="1">
    <field x="3"/>
  </rowFields>
  <rowItems count="5">
    <i>
      <x/>
    </i>
    <i>
      <x v="1"/>
    </i>
    <i>
      <x v="2"/>
    </i>
    <i>
      <x v="3"/>
    </i>
    <i t="grand">
      <x/>
    </i>
  </rowItems>
  <colItems count="1">
    <i/>
  </colItems>
  <dataFields count="1">
    <dataField name="Total Clicks" fld="7" baseField="0" baseItem="0"/>
  </dataFields>
  <formats count="1">
    <format dxfId="2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9D037DEB-7E0F-4008-9967-F49251499923}" name="PivotTable21" cacheId="6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46:C51" firstHeaderRow="0" firstDataRow="1" firstDataCol="1"/>
  <pivotFields count="19">
    <pivotField compact="0" numFmtId="14" outline="0" showAll="0"/>
    <pivotField compact="0" outline="0" showAll="0">
      <items count="5">
        <item x="1"/>
        <item x="0"/>
        <item x="2"/>
        <item x="3"/>
        <item t="default"/>
      </items>
    </pivotField>
    <pivotField compact="0" outline="0" showAll="0">
      <items count="5">
        <item x="3"/>
        <item x="2"/>
        <item x="0"/>
        <item x="1"/>
        <item t="default"/>
      </items>
    </pivotField>
    <pivotField axis="axisRow" compact="0" outline="0" showAll="0">
      <items count="5">
        <item x="3"/>
        <item x="0"/>
        <item x="1"/>
        <item x="2"/>
        <item t="default"/>
      </items>
    </pivotField>
    <pivotField compact="0" outline="0" showAll="0">
      <items count="5">
        <item x="2"/>
        <item x="1"/>
        <item x="3"/>
        <item x="0"/>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dataField="1" compact="0" outline="0" showAll="0"/>
    <pivotField compact="0" outline="0" showAll="0"/>
    <pivotField compact="0" numFmtId="9" outline="0" showAll="0"/>
    <pivotField compact="0" outline="0" showAll="0"/>
    <pivotField compact="0" numFmtId="164" outline="0" showAll="0"/>
    <pivotField compact="0" numFmtId="164" outline="0" showAll="0"/>
    <pivotField compact="0" outline="0" showAll="0"/>
    <pivotField compact="0" outline="0" showAll="0"/>
  </pivotFields>
  <rowFields count="1">
    <field x="3"/>
  </rowFields>
  <rowItems count="5">
    <i>
      <x/>
    </i>
    <i>
      <x v="1"/>
    </i>
    <i>
      <x v="2"/>
    </i>
    <i>
      <x v="3"/>
    </i>
    <i t="grand">
      <x/>
    </i>
  </rowItems>
  <colFields count="1">
    <field x="-2"/>
  </colFields>
  <colItems count="2">
    <i>
      <x/>
    </i>
    <i i="1">
      <x v="1"/>
    </i>
  </colItems>
  <dataFields count="2">
    <dataField name="CTR" fld="10" subtotal="average" baseField="0" baseItem="0"/>
    <dataField name="CPC" fld="11" subtotal="average" baseField="0" baseItem="0" numFmtId="164"/>
  </dataFields>
  <formats count="2">
    <format dxfId="27">
      <pivotArea outline="0" collapsedLevelsAreSubtotals="1" fieldPosition="0"/>
    </format>
    <format dxfId="26">
      <pivotArea outline="0" fieldPosition="0">
        <references count="1">
          <reference field="4294967294" count="1" selected="0">
            <x v="1"/>
          </reference>
        </references>
      </pivotArea>
    </format>
  </formats>
  <chartFormats count="13">
    <chartFormat chart="0" format="4" series="1">
      <pivotArea type="data" outline="0" fieldPosition="0">
        <references count="1">
          <reference field="4294967294" count="1" selected="0">
            <x v="1"/>
          </reference>
        </references>
      </pivotArea>
    </chartFormat>
    <chartFormat chart="0" format="5" series="1">
      <pivotArea type="data" outline="0" fieldPosition="0">
        <references count="1">
          <reference field="4294967294" count="1" selected="0">
            <x v="0"/>
          </reference>
        </references>
      </pivotArea>
    </chartFormat>
    <chartFormat chart="1" format="6" series="1">
      <pivotArea type="data" outline="0" fieldPosition="0">
        <references count="1">
          <reference field="4294967294" count="1" selected="0">
            <x v="1"/>
          </reference>
        </references>
      </pivotArea>
    </chartFormat>
    <chartFormat chart="1" format="7" series="1">
      <pivotArea type="data" outline="0" fieldPosition="0">
        <references count="1">
          <reference field="4294967294" count="1" selected="0">
            <x v="0"/>
          </reference>
        </references>
      </pivotArea>
    </chartFormat>
    <chartFormat chart="2" format="8" series="1">
      <pivotArea type="data" outline="0" fieldPosition="0">
        <references count="1">
          <reference field="4294967294" count="1" selected="0">
            <x v="1"/>
          </reference>
        </references>
      </pivotArea>
    </chartFormat>
    <chartFormat chart="2" format="9" series="1">
      <pivotArea type="data" outline="0" fieldPosition="0">
        <references count="1">
          <reference field="4294967294" count="1" selected="0">
            <x v="0"/>
          </reference>
        </references>
      </pivotArea>
    </chartFormat>
    <chartFormat chart="3" format="10" series="1">
      <pivotArea type="data" outline="0" fieldPosition="0">
        <references count="1">
          <reference field="4294967294" count="1" selected="0">
            <x v="1"/>
          </reference>
        </references>
      </pivotArea>
    </chartFormat>
    <chartFormat chart="3" format="11" series="1">
      <pivotArea type="data" outline="0" fieldPosition="0">
        <references count="1">
          <reference field="4294967294" count="1" selected="0">
            <x v="0"/>
          </reference>
        </references>
      </pivotArea>
    </chartFormat>
    <chartFormat chart="4" format="22" series="1">
      <pivotArea type="data" outline="0" fieldPosition="0">
        <references count="1">
          <reference field="4294967294" count="1" selected="0">
            <x v="1"/>
          </reference>
        </references>
      </pivotArea>
    </chartFormat>
    <chartFormat chart="4" format="23" series="1">
      <pivotArea type="data" outline="0" fieldPosition="0">
        <references count="1">
          <reference field="4294967294" count="1" selected="0">
            <x v="0"/>
          </reference>
        </references>
      </pivotArea>
    </chartFormat>
    <chartFormat chart="4" format="26">
      <pivotArea type="data" outline="0" fieldPosition="0">
        <references count="2">
          <reference field="4294967294" count="1" selected="0">
            <x v="1"/>
          </reference>
          <reference field="3" count="1" selected="0">
            <x v="2"/>
          </reference>
        </references>
      </pivotArea>
    </chartFormat>
    <chartFormat chart="4" format="27">
      <pivotArea type="data" outline="0" fieldPosition="0">
        <references count="2">
          <reference field="4294967294" count="1" selected="0">
            <x v="1"/>
          </reference>
          <reference field="3" count="1" selected="0">
            <x v="3"/>
          </reference>
        </references>
      </pivotArea>
    </chartFormat>
    <chartFormat chart="4" format="28">
      <pivotArea type="data" outline="0" fieldPosition="0">
        <references count="2">
          <reference field="4294967294" count="1" selected="0">
            <x v="1"/>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ACEBA1FF-1AD0-41E9-A2FA-4742DA717EA5}" name="PivotTable16" cacheId="6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G30:H35" firstHeaderRow="1" firstDataRow="1" firstDataCol="1"/>
  <pivotFields count="19">
    <pivotField compact="0" numFmtId="14" outline="0" showAll="0"/>
    <pivotField compact="0" outline="0" showAll="0">
      <items count="5">
        <item x="1"/>
        <item x="0"/>
        <item x="2"/>
        <item x="3"/>
        <item t="default"/>
      </items>
    </pivotField>
    <pivotField compact="0" outline="0" showAll="0">
      <items count="5">
        <item x="3"/>
        <item x="2"/>
        <item x="0"/>
        <item x="1"/>
        <item t="default"/>
      </items>
    </pivotField>
    <pivotField axis="axisRow" compact="0" outline="0" showAll="0">
      <items count="5">
        <item x="3"/>
        <item x="0"/>
        <item x="1"/>
        <item x="2"/>
        <item t="default"/>
      </items>
    </pivotField>
    <pivotField compact="0" outline="0" showAll="0">
      <items count="5">
        <item x="2"/>
        <item x="1"/>
        <item x="3"/>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numFmtId="9" outline="0" showAll="0"/>
    <pivotField compact="0" outline="0" showAll="0"/>
    <pivotField compact="0" numFmtId="164" outline="0" showAll="0"/>
    <pivotField compact="0" numFmtId="164" outline="0" showAll="0"/>
    <pivotField compact="0" outline="0" showAll="0"/>
    <pivotField compact="0" outline="0" showAll="0"/>
  </pivotFields>
  <rowFields count="1">
    <field x="3"/>
  </rowFields>
  <rowItems count="5">
    <i>
      <x/>
    </i>
    <i>
      <x v="1"/>
    </i>
    <i>
      <x v="2"/>
    </i>
    <i>
      <x v="3"/>
    </i>
    <i t="grand">
      <x/>
    </i>
  </rowItems>
  <colItems count="1">
    <i/>
  </colItems>
  <dataFields count="1">
    <dataField name="Average of Conversion Rate " fld="13" subtotal="average" baseField="0" baseItem="0" numFmtId="9"/>
  </dataFields>
  <formats count="13">
    <format dxfId="40">
      <pivotArea outline="0" collapsedLevelsAreSubtotals="1" fieldPosition="0"/>
    </format>
    <format dxfId="39">
      <pivotArea type="all" dataOnly="0" outline="0" fieldPosition="0"/>
    </format>
    <format dxfId="38">
      <pivotArea outline="0" collapsedLevelsAreSubtotals="1" fieldPosition="0"/>
    </format>
    <format dxfId="37">
      <pivotArea field="3" type="button" dataOnly="0" labelOnly="1" outline="0" axis="axisRow" fieldPosition="0"/>
    </format>
    <format dxfId="36">
      <pivotArea dataOnly="0" labelOnly="1" outline="0" fieldPosition="0">
        <references count="1">
          <reference field="3" count="0"/>
        </references>
      </pivotArea>
    </format>
    <format dxfId="35">
      <pivotArea dataOnly="0" labelOnly="1" grandRow="1" outline="0" fieldPosition="0"/>
    </format>
    <format dxfId="34">
      <pivotArea dataOnly="0" labelOnly="1" outline="0" axis="axisValues" fieldPosition="0"/>
    </format>
    <format dxfId="33">
      <pivotArea type="all" dataOnly="0" outline="0" fieldPosition="0"/>
    </format>
    <format dxfId="32">
      <pivotArea outline="0" collapsedLevelsAreSubtotals="1" fieldPosition="0"/>
    </format>
    <format dxfId="31">
      <pivotArea field="3" type="button" dataOnly="0" labelOnly="1" outline="0" axis="axisRow" fieldPosition="0"/>
    </format>
    <format dxfId="30">
      <pivotArea dataOnly="0" labelOnly="1" outline="0" fieldPosition="0">
        <references count="1">
          <reference field="3" count="0"/>
        </references>
      </pivotArea>
    </format>
    <format dxfId="29">
      <pivotArea dataOnly="0" labelOnly="1" grandRow="1" outline="0" fieldPosition="0"/>
    </format>
    <format dxfId="2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8F9137EC-2125-4347-8418-74544285E313}" name="PivotTable15" cacheId="6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D30:E35" firstHeaderRow="1" firstDataRow="1" firstDataCol="1"/>
  <pivotFields count="19">
    <pivotField compact="0" numFmtId="14" outline="0" showAll="0"/>
    <pivotField compact="0" outline="0" showAll="0">
      <items count="5">
        <item x="1"/>
        <item x="0"/>
        <item x="2"/>
        <item x="3"/>
        <item t="default"/>
      </items>
    </pivotField>
    <pivotField compact="0" outline="0" showAll="0">
      <items count="5">
        <item x="3"/>
        <item x="2"/>
        <item x="0"/>
        <item x="1"/>
        <item t="default"/>
      </items>
    </pivotField>
    <pivotField compact="0" outline="0" showAll="0">
      <items count="5">
        <item x="3"/>
        <item x="0"/>
        <item x="1"/>
        <item x="2"/>
        <item t="default"/>
      </items>
    </pivotField>
    <pivotField axis="axisRow" compact="0" outline="0" showAll="0">
      <items count="5">
        <item x="2"/>
        <item x="1"/>
        <item x="3"/>
        <item x="0"/>
        <item t="default"/>
      </items>
    </pivotField>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numFmtId="9" outline="0" showAll="0"/>
    <pivotField compact="0" outline="0" showAll="0"/>
    <pivotField compact="0" numFmtId="164" outline="0" showAll="0"/>
    <pivotField compact="0" numFmtId="164" outline="0" showAll="0"/>
    <pivotField compact="0" outline="0" showAll="0"/>
    <pivotField compact="0" outline="0" showAll="0"/>
  </pivotFields>
  <rowFields count="1">
    <field x="4"/>
  </rowFields>
  <rowItems count="5">
    <i>
      <x/>
    </i>
    <i>
      <x v="1"/>
    </i>
    <i>
      <x v="2"/>
    </i>
    <i>
      <x v="3"/>
    </i>
    <i t="grand">
      <x/>
    </i>
  </rowItems>
  <colItems count="1">
    <i/>
  </colItems>
  <dataFields count="1">
    <dataField name="Total Conversions" fld="8" baseField="0" baseItem="0"/>
  </dataFields>
  <formats count="1">
    <format dxfId="4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D392E40E-385B-428E-87D8-D939D0B54104}" name="PivotTable41" cacheId="6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L2:M3" firstHeaderRow="0" firstDataRow="1" firstDataCol="0"/>
  <pivotFields count="19">
    <pivotField compact="0" numFmtId="14" outline="0" showAll="0"/>
    <pivotField compact="0" outline="0" showAll="0">
      <items count="5">
        <item x="1"/>
        <item x="0"/>
        <item x="2"/>
        <item x="3"/>
        <item t="default"/>
      </items>
    </pivotField>
    <pivotField compact="0" outline="0" showAll="0">
      <items count="5">
        <item x="3"/>
        <item x="2"/>
        <item x="0"/>
        <item x="1"/>
        <item t="default"/>
      </items>
    </pivotField>
    <pivotField compact="0" outline="0" showAll="0">
      <items count="5">
        <item x="3"/>
        <item x="0"/>
        <item x="1"/>
        <item x="2"/>
        <item t="default"/>
      </items>
    </pivotField>
    <pivotField compact="0" outline="0" showAll="0">
      <items count="5">
        <item x="2"/>
        <item x="1"/>
        <item x="3"/>
        <item x="0"/>
        <item t="default"/>
      </items>
    </pivotField>
    <pivotField compact="0" outline="0" showAll="0"/>
    <pivotField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 compact="0" numFmtId="9" outline="0" showAll="0"/>
    <pivotField compact="0" outline="0" showAll="0"/>
    <pivotField compact="0" numFmtId="164" outline="0" showAll="0"/>
    <pivotField compact="0" numFmtId="164" outline="0" showAll="0"/>
    <pivotField compact="0" outline="0" showAll="0"/>
    <pivotField compact="0" outline="0" showAll="0"/>
  </pivotFields>
  <rowItems count="1">
    <i/>
  </rowItems>
  <colFields count="1">
    <field x="-2"/>
  </colFields>
  <colItems count="2">
    <i>
      <x/>
    </i>
    <i i="1">
      <x v="1"/>
    </i>
  </colItems>
  <dataFields count="2">
    <dataField name="Sum of Clicks-" fld="7" baseField="0" baseItem="0"/>
    <dataField name="Sum of Conversions-" fld="8" baseField="0" baseItem="0"/>
  </dataFields>
  <formats count="1">
    <format dxfId="4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BD918CA5-A5C4-4AD0-8D43-ACC0E777A8C9}" name="PivotTable20" cacheId="6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J38:J43" firstHeaderRow="1" firstDataRow="1" firstDataCol="1"/>
  <pivotFields count="19">
    <pivotField compact="0" numFmtId="14" outline="0" showAll="0"/>
    <pivotField compact="0" outline="0" showAll="0">
      <items count="5">
        <item x="1"/>
        <item x="0"/>
        <item x="2"/>
        <item x="3"/>
        <item t="default"/>
      </items>
    </pivotField>
    <pivotField compact="0" outline="0" showAll="0">
      <items count="5">
        <item x="3"/>
        <item x="2"/>
        <item x="0"/>
        <item x="1"/>
        <item t="default"/>
      </items>
    </pivotField>
    <pivotField compact="0" outline="0" showAll="0">
      <items count="5">
        <item x="3"/>
        <item x="0"/>
        <item x="1"/>
        <item x="2"/>
        <item t="default"/>
      </items>
    </pivotField>
    <pivotField axis="axisRow" compact="0" outline="0" showAll="0">
      <items count="5">
        <item x="2"/>
        <item x="1"/>
        <item x="3"/>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9" outline="0" showAll="0"/>
    <pivotField compact="0" outline="0" showAll="0"/>
    <pivotField compact="0" numFmtId="164" outline="0" showAll="0"/>
    <pivotField compact="0" numFmtId="164" outline="0" showAll="0"/>
    <pivotField compact="0" outline="0" showAll="0"/>
    <pivotField compact="0" outline="0" showAll="0"/>
  </pivotFields>
  <rowFields count="1">
    <field x="4"/>
  </rowFields>
  <rowItems count="5">
    <i>
      <x/>
    </i>
    <i>
      <x v="1"/>
    </i>
    <i>
      <x v="2"/>
    </i>
    <i>
      <x v="3"/>
    </i>
    <i t="grand">
      <x/>
    </i>
  </rowItems>
  <colItems count="1">
    <i/>
  </colItems>
  <formats count="1">
    <format dxfId="4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1E7C69A3-8A81-496E-8892-FEDF41D50A31}" name="PivotTable45" cacheId="6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R107:T133" firstHeaderRow="1" firstDataRow="1" firstDataCol="2"/>
  <pivotFields count="19">
    <pivotField compact="0" numFmtId="14" outline="0" showAll="0"/>
    <pivotField compact="0" outline="0" showAll="0">
      <items count="5">
        <item x="1"/>
        <item x="0"/>
        <item x="2"/>
        <item x="3"/>
        <item t="default"/>
      </items>
    </pivotField>
    <pivotField compact="0" outline="0" showAll="0">
      <items count="5">
        <item x="3"/>
        <item x="2"/>
        <item x="0"/>
        <item x="1"/>
        <item t="default"/>
      </items>
    </pivotField>
    <pivotField compact="0" outline="0" showAll="0">
      <items count="5">
        <item x="3"/>
        <item x="0"/>
        <item x="1"/>
        <item x="2"/>
        <item t="default"/>
      </items>
    </pivotField>
    <pivotField compact="0" outline="0" showAll="0">
      <items count="5">
        <item x="2"/>
        <item x="1"/>
        <item x="3"/>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numFmtId="9" outline="0" showAll="0"/>
    <pivotField compact="0" outline="0" showAll="0"/>
    <pivotField compact="0" numFmtId="164" outline="0" showAll="0"/>
    <pivotField compact="0" numFmtId="164" outline="0" showAll="0"/>
    <pivotField axis="axisRow" compact="0" outline="0" showAll="0">
      <items count="13">
        <item x="0"/>
        <item x="1"/>
        <item x="2"/>
        <item x="3"/>
        <item x="4"/>
        <item x="5"/>
        <item x="6"/>
        <item x="7"/>
        <item x="8"/>
        <item x="9"/>
        <item x="10"/>
        <item x="11"/>
        <item t="default"/>
      </items>
    </pivotField>
    <pivotField axis="axisRow" compact="0" outline="0" showAll="0">
      <items count="3">
        <item x="0"/>
        <item x="1"/>
        <item t="default"/>
      </items>
    </pivotField>
  </pivotFields>
  <rowFields count="2">
    <field x="18"/>
    <field x="17"/>
  </rowFields>
  <rowItems count="26">
    <i>
      <x/>
      <x/>
    </i>
    <i r="1">
      <x v="1"/>
    </i>
    <i r="1">
      <x v="2"/>
    </i>
    <i r="1">
      <x v="3"/>
    </i>
    <i r="1">
      <x v="4"/>
    </i>
    <i r="1">
      <x v="5"/>
    </i>
    <i r="1">
      <x v="6"/>
    </i>
    <i r="1">
      <x v="7"/>
    </i>
    <i r="1">
      <x v="8"/>
    </i>
    <i r="1">
      <x v="9"/>
    </i>
    <i r="1">
      <x v="10"/>
    </i>
    <i r="1">
      <x v="11"/>
    </i>
    <i t="default">
      <x/>
    </i>
    <i>
      <x v="1"/>
      <x/>
    </i>
    <i r="1">
      <x v="1"/>
    </i>
    <i r="1">
      <x v="2"/>
    </i>
    <i r="1">
      <x v="3"/>
    </i>
    <i r="1">
      <x v="4"/>
    </i>
    <i r="1">
      <x v="5"/>
    </i>
    <i r="1">
      <x v="6"/>
    </i>
    <i r="1">
      <x v="7"/>
    </i>
    <i r="1">
      <x v="8"/>
    </i>
    <i r="1">
      <x v="9"/>
    </i>
    <i r="1">
      <x v="10"/>
    </i>
    <i t="default">
      <x v="1"/>
    </i>
    <i t="grand">
      <x/>
    </i>
  </rowItems>
  <colItems count="1">
    <i/>
  </colItems>
  <dataFields count="1">
    <dataField name="Average of ROI-" fld="12" subtotal="average" baseField="0" baseItem="0" numFmtId="9"/>
  </dataFields>
  <formats count="1">
    <format dxfId="4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A780C8F3-01AF-404C-A639-B52B1EDCBE50}" name="PivotTable14" cacheId="6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0:B35" firstHeaderRow="1" firstDataRow="1" firstDataCol="1"/>
  <pivotFields count="19">
    <pivotField compact="0" numFmtId="14" outline="0" showAll="0"/>
    <pivotField compact="0" outline="0" showAll="0">
      <items count="5">
        <item x="1"/>
        <item x="0"/>
        <item x="2"/>
        <item x="3"/>
        <item t="default"/>
      </items>
    </pivotField>
    <pivotField compact="0" outline="0" showAll="0">
      <items count="5">
        <item x="3"/>
        <item x="2"/>
        <item x="0"/>
        <item x="1"/>
        <item t="default"/>
      </items>
    </pivotField>
    <pivotField axis="axisRow" compact="0" outline="0" showAll="0">
      <items count="5">
        <item x="3"/>
        <item x="0"/>
        <item x="1"/>
        <item x="2"/>
        <item t="default"/>
      </items>
    </pivotField>
    <pivotField compact="0" outline="0" showAll="0">
      <items count="5">
        <item x="2"/>
        <item x="1"/>
        <item x="3"/>
        <item x="0"/>
        <item t="default"/>
      </items>
    </pivotField>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numFmtId="9" outline="0" showAll="0"/>
    <pivotField compact="0" outline="0" showAll="0"/>
    <pivotField compact="0" numFmtId="164" outline="0" showAll="0"/>
    <pivotField compact="0" numFmtId="164" outline="0" showAll="0"/>
    <pivotField compact="0" outline="0" showAll="0"/>
    <pivotField compact="0" outline="0" showAll="0"/>
  </pivotFields>
  <rowFields count="1">
    <field x="3"/>
  </rowFields>
  <rowItems count="5">
    <i>
      <x/>
    </i>
    <i>
      <x v="1"/>
    </i>
    <i>
      <x v="2"/>
    </i>
    <i>
      <x v="3"/>
    </i>
    <i t="grand">
      <x/>
    </i>
  </rowItems>
  <colItems count="1">
    <i/>
  </colItems>
  <dataFields count="1">
    <dataField name="Total Conversions" fld="8" baseField="0" baseItem="0"/>
  </dataFields>
  <formats count="1">
    <format dxfId="4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FF39A157-B893-4C33-876A-9CCEEBF45BA0}" name="PivotTable33" cacheId="6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N23:O28" firstHeaderRow="1" firstDataRow="1" firstDataCol="1"/>
  <pivotFields count="19">
    <pivotField compact="0" numFmtId="14" outline="0" showAll="0"/>
    <pivotField compact="0" outline="0" showAll="0">
      <items count="5">
        <item x="1"/>
        <item x="0"/>
        <item x="2"/>
        <item x="3"/>
        <item t="default"/>
      </items>
    </pivotField>
    <pivotField compact="0" outline="0" showAll="0">
      <items count="5">
        <item x="3"/>
        <item x="2"/>
        <item x="0"/>
        <item x="1"/>
        <item t="default"/>
      </items>
    </pivotField>
    <pivotField axis="axisRow" compact="0" outline="0" showAll="0">
      <items count="5">
        <item x="3"/>
        <item x="0"/>
        <item x="1"/>
        <item x="2"/>
        <item t="default"/>
      </items>
    </pivotField>
    <pivotField compact="0" outline="0" showAll="0">
      <items count="5">
        <item x="2"/>
        <item x="1"/>
        <item x="3"/>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numFmtId="9" outline="0" showAll="0"/>
    <pivotField compact="0" outline="0" showAll="0"/>
    <pivotField compact="0" numFmtId="164" outline="0" showAll="0"/>
    <pivotField compact="0" numFmtId="164" outline="0" showAll="0"/>
    <pivotField compact="0" outline="0" showAll="0"/>
    <pivotField compact="0" outline="0" showAll="0"/>
  </pivotFields>
  <rowFields count="1">
    <field x="3"/>
  </rowFields>
  <rowItems count="5">
    <i>
      <x/>
    </i>
    <i>
      <x v="1"/>
    </i>
    <i>
      <x v="2"/>
    </i>
    <i>
      <x v="3"/>
    </i>
    <i t="grand">
      <x/>
    </i>
  </rowItems>
  <colItems count="1">
    <i/>
  </colItems>
  <dataFields count="1">
    <dataField name="Average of Conversion Rate " fld="13" subtotal="average" baseField="0" baseItem="0" numFmtId="9"/>
  </dataFields>
  <formats count="17">
    <format dxfId="62">
      <pivotArea outline="0" collapsedLevelsAreSubtotals="1" fieldPosition="0"/>
    </format>
    <format dxfId="61">
      <pivotArea type="all" dataOnly="0" outline="0" fieldPosition="0"/>
    </format>
    <format dxfId="60">
      <pivotArea outline="0" collapsedLevelsAreSubtotals="1" fieldPosition="0"/>
    </format>
    <format dxfId="59">
      <pivotArea field="3" type="button" dataOnly="0" labelOnly="1" outline="0" axis="axisRow" fieldPosition="0"/>
    </format>
    <format dxfId="58">
      <pivotArea dataOnly="0" labelOnly="1" outline="0" fieldPosition="0">
        <references count="1">
          <reference field="3" count="0"/>
        </references>
      </pivotArea>
    </format>
    <format dxfId="57">
      <pivotArea dataOnly="0" labelOnly="1" grandRow="1" outline="0" fieldPosition="0"/>
    </format>
    <format dxfId="56">
      <pivotArea dataOnly="0" labelOnly="1" outline="0" axis="axisValues" fieldPosition="0"/>
    </format>
    <format dxfId="55">
      <pivotArea outline="0" collapsedLevelsAreSubtotals="1" fieldPosition="0"/>
    </format>
    <format dxfId="54">
      <pivotArea outline="0" collapsedLevelsAreSubtotals="1" fieldPosition="0"/>
    </format>
    <format dxfId="53">
      <pivotArea outline="0" collapsedLevelsAreSubtotals="1" fieldPosition="0"/>
    </format>
    <format dxfId="52">
      <pivotArea outline="0" collapsedLevelsAreSubtotals="1" fieldPosition="0"/>
    </format>
    <format dxfId="51">
      <pivotArea type="all" dataOnly="0" outline="0" fieldPosition="0"/>
    </format>
    <format dxfId="50">
      <pivotArea outline="0" collapsedLevelsAreSubtotals="1" fieldPosition="0"/>
    </format>
    <format dxfId="49">
      <pivotArea field="3" type="button" dataOnly="0" labelOnly="1" outline="0" axis="axisRow" fieldPosition="0"/>
    </format>
    <format dxfId="48">
      <pivotArea dataOnly="0" labelOnly="1" outline="0" fieldPosition="0">
        <references count="1">
          <reference field="3" count="0"/>
        </references>
      </pivotArea>
    </format>
    <format dxfId="47">
      <pivotArea dataOnly="0" labelOnly="1" grandRow="1" outline="0" fieldPosition="0"/>
    </format>
    <format dxfId="4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90746BFD-B5EE-479D-A9D0-D584CF918CD1}" name="PivotTable35" cacheId="6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Q38:S43" firstHeaderRow="0" firstDataRow="1" firstDataCol="1"/>
  <pivotFields count="19">
    <pivotField compact="0" numFmtId="14" outline="0" showAll="0"/>
    <pivotField axis="axisRow" compact="0" outline="0" showAll="0">
      <items count="5">
        <item x="1"/>
        <item x="0"/>
        <item x="2"/>
        <item x="3"/>
        <item t="default"/>
      </items>
    </pivotField>
    <pivotField compact="0" outline="0" showAll="0">
      <items count="5">
        <item x="3"/>
        <item x="2"/>
        <item x="0"/>
        <item x="1"/>
        <item t="default"/>
      </items>
    </pivotField>
    <pivotField compact="0" outline="0" showAll="0">
      <items count="5">
        <item x="3"/>
        <item x="0"/>
        <item x="1"/>
        <item x="2"/>
        <item t="default"/>
      </items>
    </pivotField>
    <pivotField compact="0" outline="0" showAll="0">
      <items count="5">
        <item x="2"/>
        <item x="1"/>
        <item x="3"/>
        <item x="0"/>
        <item t="default"/>
      </items>
    </pivotField>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9" outline="0" showAll="0"/>
    <pivotField compact="0" outline="0" showAll="0"/>
    <pivotField compact="0" numFmtId="164" outline="0" showAll="0"/>
    <pivotField dataField="1" compact="0" numFmtId="164" outline="0" showAll="0"/>
    <pivotField compact="0" outline="0" showAll="0"/>
    <pivotField compact="0" outline="0" showAll="0"/>
  </pivotFields>
  <rowFields count="1">
    <field x="1"/>
  </rowFields>
  <rowItems count="5">
    <i>
      <x/>
    </i>
    <i>
      <x v="1"/>
    </i>
    <i>
      <x v="2"/>
    </i>
    <i>
      <x v="3"/>
    </i>
    <i t="grand">
      <x/>
    </i>
  </rowItems>
  <colFields count="1">
    <field x="-2"/>
  </colFields>
  <colItems count="2">
    <i>
      <x/>
    </i>
    <i i="1">
      <x v="1"/>
    </i>
  </colItems>
  <dataFields count="2">
    <dataField name="Sum of Spent" fld="5" baseField="0" baseItem="0"/>
    <dataField name="Sum of Profit" fld="16" baseField="0" baseItem="0" numFmtId="164"/>
  </dataFields>
  <formats count="1">
    <format dxfId="6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6E3BA660-64E0-4C22-804E-79D2CEAB7C4C}" name="PivotTable29" cacheId="6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R62:T67" firstHeaderRow="0" firstDataRow="1" firstDataCol="1"/>
  <pivotFields count="19">
    <pivotField compact="0" numFmtId="14" outline="0" showAll="0"/>
    <pivotField compact="0" outline="0" showAll="0">
      <items count="5">
        <item x="1"/>
        <item x="0"/>
        <item x="2"/>
        <item x="3"/>
        <item t="default"/>
      </items>
    </pivotField>
    <pivotField compact="0" outline="0" showAll="0">
      <items count="5">
        <item x="3"/>
        <item x="2"/>
        <item x="0"/>
        <item x="1"/>
        <item t="default"/>
      </items>
    </pivotField>
    <pivotField axis="axisRow" compact="0" outline="0" showAll="0">
      <items count="5">
        <item x="3"/>
        <item x="0"/>
        <item x="1"/>
        <item x="2"/>
        <item t="default"/>
      </items>
    </pivotField>
    <pivotField compact="0" outline="0" showAll="0">
      <items count="5">
        <item x="2"/>
        <item x="1"/>
        <item x="3"/>
        <item x="0"/>
        <item t="default"/>
      </items>
    </pivotField>
    <pivotField compact="0" outline="0" showAll="0"/>
    <pivotField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 compact="0" numFmtId="9" outline="0" showAll="0"/>
    <pivotField compact="0" outline="0" showAll="0"/>
    <pivotField compact="0" numFmtId="164" outline="0" showAll="0"/>
    <pivotField compact="0" numFmtId="164" outline="0" showAll="0"/>
    <pivotField compact="0" outline="0" showAll="0"/>
    <pivotField compact="0" outline="0" showAll="0"/>
  </pivotFields>
  <rowFields count="1">
    <field x="3"/>
  </rowFields>
  <rowItems count="5">
    <i>
      <x/>
    </i>
    <i>
      <x v="1"/>
    </i>
    <i>
      <x v="2"/>
    </i>
    <i>
      <x v="3"/>
    </i>
    <i t="grand">
      <x/>
    </i>
  </rowItems>
  <colFields count="1">
    <field x="-2"/>
  </colFields>
  <colItems count="2">
    <i>
      <x/>
    </i>
    <i i="1">
      <x v="1"/>
    </i>
  </colItems>
  <dataFields count="2">
    <dataField name="Sum of Clicks-" fld="7" baseField="0" baseItem="0"/>
    <dataField name="Sum of Conversions-" fld="8" baseField="0" baseItem="0"/>
  </dataFields>
  <formats count="1">
    <format dxfId="6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866581AF-179D-4FF8-920F-0297B9FCCAA3}" name="PivotTable4" cacheId="6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J6:K11" firstHeaderRow="1" firstDataRow="1" firstDataCol="1"/>
  <pivotFields count="19">
    <pivotField compact="0" numFmtId="14" outline="0" showAll="0"/>
    <pivotField compact="0" outline="0" showAll="0">
      <items count="5">
        <item x="1"/>
        <item x="0"/>
        <item x="2"/>
        <item x="3"/>
        <item t="default"/>
      </items>
    </pivotField>
    <pivotField compact="0" outline="0" showAll="0">
      <items count="5">
        <item x="3"/>
        <item x="2"/>
        <item x="0"/>
        <item x="1"/>
        <item t="default"/>
      </items>
    </pivotField>
    <pivotField compact="0" outline="0" showAll="0">
      <items count="5">
        <item x="3"/>
        <item x="0"/>
        <item x="1"/>
        <item x="2"/>
        <item t="default"/>
      </items>
    </pivotField>
    <pivotField axis="axisRow" compact="0" outline="0" showAll="0">
      <items count="5">
        <item x="2"/>
        <item x="1"/>
        <item x="3"/>
        <item x="0"/>
        <item t="default"/>
      </items>
    </pivotField>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9" outline="0" showAll="0"/>
    <pivotField compact="0" outline="0" showAll="0"/>
    <pivotField compact="0" numFmtId="164" outline="0" showAll="0"/>
    <pivotField compact="0" numFmtId="164" outline="0" showAll="0"/>
    <pivotField compact="0" outline="0" showAll="0"/>
    <pivotField compact="0" outline="0" showAll="0"/>
  </pivotFields>
  <rowFields count="1">
    <field x="4"/>
  </rowFields>
  <rowItems count="5">
    <i>
      <x/>
    </i>
    <i>
      <x v="1"/>
    </i>
    <i>
      <x v="2"/>
    </i>
    <i>
      <x v="3"/>
    </i>
    <i t="grand">
      <x/>
    </i>
  </rowItems>
  <colItems count="1">
    <i/>
  </colItems>
  <dataFields count="1">
    <dataField name="Spend" fld="5" baseField="0" baseItem="0"/>
  </dataFields>
  <formats count="1">
    <format dxfId="6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78FA1DB7-CE03-4BD8-BDE7-45CA74A4F9BF}" name="PivotTable48" cacheId="6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8">
  <location ref="F116:I121" firstHeaderRow="0" firstDataRow="1" firstDataCol="1"/>
  <pivotFields count="19">
    <pivotField compact="0" numFmtId="14" outline="0" showAll="0"/>
    <pivotField compact="0" outline="0" showAll="0">
      <items count="5">
        <item x="1"/>
        <item x="0"/>
        <item x="2"/>
        <item x="3"/>
        <item t="default"/>
      </items>
    </pivotField>
    <pivotField compact="0" outline="0" showAll="0">
      <items count="5">
        <item x="3"/>
        <item x="2"/>
        <item x="0"/>
        <item x="1"/>
        <item t="default"/>
      </items>
    </pivotField>
    <pivotField axis="axisRow" compact="0" outline="0" showAll="0">
      <items count="5">
        <item x="3"/>
        <item x="0"/>
        <item x="1"/>
        <item x="2"/>
        <item t="default"/>
      </items>
    </pivotField>
    <pivotField compact="0" outline="0" showAll="0">
      <items count="5">
        <item x="2"/>
        <item x="1"/>
        <item x="3"/>
        <item x="0"/>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dataField="1" compact="0" outline="0" showAll="0"/>
    <pivotField dataField="1" compact="0" outline="0" showAll="0"/>
    <pivotField compact="0" numFmtId="9" outline="0" showAll="0"/>
    <pivotField compact="0" outline="0" showAll="0"/>
    <pivotField compact="0" numFmtId="164" outline="0" showAll="0"/>
    <pivotField compact="0" numFmtId="164" outline="0" showAll="0"/>
    <pivotField compact="0" outline="0" showAll="0"/>
    <pivotField compact="0" outline="0" showAll="0"/>
  </pivotFields>
  <rowFields count="1">
    <field x="3"/>
  </rowFields>
  <rowItems count="5">
    <i>
      <x/>
    </i>
    <i>
      <x v="1"/>
    </i>
    <i>
      <x v="2"/>
    </i>
    <i>
      <x v="3"/>
    </i>
    <i t="grand">
      <x/>
    </i>
  </rowItems>
  <colFields count="1">
    <field x="-2"/>
  </colFields>
  <colItems count="3">
    <i>
      <x/>
    </i>
    <i i="1">
      <x v="1"/>
    </i>
    <i i="2">
      <x v="2"/>
    </i>
  </colItems>
  <dataFields count="3">
    <dataField name="CTR" fld="10" subtotal="average" baseField="0" baseItem="0"/>
    <dataField name="CPC" fld="11" subtotal="average" baseField="0" baseItem="0" numFmtId="1"/>
    <dataField name="ROI %" fld="12" subtotal="average" baseField="0" baseItem="0" numFmtId="9"/>
  </dataFields>
  <formats count="3">
    <format dxfId="68">
      <pivotArea outline="0" collapsedLevelsAreSubtotals="1" fieldPosition="0"/>
    </format>
    <format dxfId="67">
      <pivotArea outline="0" fieldPosition="0">
        <references count="1">
          <reference field="4294967294" count="1" selected="0">
            <x v="2"/>
          </reference>
        </references>
      </pivotArea>
    </format>
    <format dxfId="66">
      <pivotArea outline="0" fieldPosition="0">
        <references count="1">
          <reference field="4294967294" count="1" selected="0">
            <x v="1"/>
          </reference>
        </references>
      </pivotArea>
    </format>
  </formats>
  <chartFormats count="9">
    <chartFormat chart="0" format="3"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1"/>
          </reference>
        </references>
      </pivotArea>
    </chartFormat>
    <chartFormat chart="0" format="5" series="1">
      <pivotArea type="data" outline="0" fieldPosition="0">
        <references count="1">
          <reference field="4294967294" count="1" selected="0">
            <x v="2"/>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5" format="59" series="1">
      <pivotArea type="data" outline="0" fieldPosition="0">
        <references count="1">
          <reference field="4294967294" count="1" selected="0">
            <x v="0"/>
          </reference>
        </references>
      </pivotArea>
    </chartFormat>
    <chartFormat chart="5" format="60" series="1">
      <pivotArea type="data" outline="0" fieldPosition="0">
        <references count="1">
          <reference field="4294967294" count="1" selected="0">
            <x v="2"/>
          </reference>
        </references>
      </pivotArea>
    </chartFormat>
    <chartFormat chart="5" format="6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7.xml><?xml version="1.0" encoding="utf-8"?>
<pivotTableDefinition xmlns="http://schemas.openxmlformats.org/spreadsheetml/2006/main" xmlns:mc="http://schemas.openxmlformats.org/markup-compatibility/2006" xmlns:xr="http://schemas.microsoft.com/office/spreadsheetml/2014/revision" mc:Ignorable="xr" xr:uid="{2FBA0579-FB47-4829-9183-6DBA5DF48B85}" name="PivotTable25" cacheId="6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62:C67" firstHeaderRow="0" firstDataRow="1" firstDataCol="1"/>
  <pivotFields count="19">
    <pivotField compact="0" numFmtId="14" outline="0" showAll="0"/>
    <pivotField compact="0" outline="0" showAll="0">
      <items count="5">
        <item x="1"/>
        <item x="0"/>
        <item x="2"/>
        <item x="3"/>
        <item t="default"/>
      </items>
    </pivotField>
    <pivotField compact="0" outline="0" showAll="0">
      <items count="5">
        <item x="3"/>
        <item x="2"/>
        <item x="0"/>
        <item x="1"/>
        <item t="default"/>
      </items>
    </pivotField>
    <pivotField axis="axisRow" compact="0" outline="0" showAll="0">
      <items count="5">
        <item x="3"/>
        <item x="0"/>
        <item x="1"/>
        <item x="2"/>
        <item t="default"/>
      </items>
    </pivotField>
    <pivotField compact="0" outline="0" showAll="0">
      <items count="5">
        <item x="2"/>
        <item x="1"/>
        <item x="3"/>
        <item x="0"/>
        <item t="default"/>
      </items>
    </pivotField>
    <pivotField dataField="1"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numFmtId="9" outline="0" showAll="0"/>
    <pivotField compact="0" outline="0" showAll="0"/>
    <pivotField compact="0" numFmtId="164" outline="0" showAll="0"/>
    <pivotField compact="0" numFmtId="164" outline="0" showAll="0"/>
    <pivotField compact="0" outline="0" showAll="0"/>
    <pivotField compact="0" outline="0" showAll="0"/>
  </pivotFields>
  <rowFields count="1">
    <field x="3"/>
  </rowFields>
  <rowItems count="5">
    <i>
      <x/>
    </i>
    <i>
      <x v="1"/>
    </i>
    <i>
      <x v="2"/>
    </i>
    <i>
      <x v="3"/>
    </i>
    <i t="grand">
      <x/>
    </i>
  </rowItems>
  <colFields count="1">
    <field x="-2"/>
  </colFields>
  <colItems count="2">
    <i>
      <x/>
    </i>
    <i i="1">
      <x v="1"/>
    </i>
  </colItems>
  <dataFields count="2">
    <dataField name="Sum of Spent" fld="5" baseField="0" baseItem="0"/>
    <dataField name="Sum of Revenue" fld="9" baseField="0" baseItem="0"/>
  </dataFields>
  <formats count="1">
    <format dxfId="6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8.xml><?xml version="1.0" encoding="utf-8"?>
<pivotTableDefinition xmlns="http://schemas.openxmlformats.org/spreadsheetml/2006/main" xmlns:mc="http://schemas.openxmlformats.org/markup-compatibility/2006" xmlns:xr="http://schemas.microsoft.com/office/spreadsheetml/2014/revision" mc:Ignorable="xr" xr:uid="{3848FABA-F83E-49F9-8F3F-2F3A04578CCC}" name="PivotTable8" cacheId="6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J14:K19" firstHeaderRow="1" firstDataRow="1" firstDataCol="1"/>
  <pivotFields count="19">
    <pivotField compact="0" numFmtId="14" outline="0" showAll="0"/>
    <pivotField compact="0" outline="0" showAll="0">
      <items count="5">
        <item x="1"/>
        <item x="0"/>
        <item x="2"/>
        <item x="3"/>
        <item t="default"/>
      </items>
    </pivotField>
    <pivotField compact="0" outline="0" showAll="0">
      <items count="5">
        <item x="3"/>
        <item x="2"/>
        <item x="0"/>
        <item x="1"/>
        <item t="default"/>
      </items>
    </pivotField>
    <pivotField compact="0" outline="0" showAll="0">
      <items count="5">
        <item x="3"/>
        <item x="0"/>
        <item x="1"/>
        <item x="2"/>
        <item t="default"/>
      </items>
    </pivotField>
    <pivotField axis="axisRow" compact="0" outline="0" showAll="0">
      <items count="5">
        <item x="2"/>
        <item x="1"/>
        <item x="3"/>
        <item x="0"/>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numFmtId="9" outline="0" showAll="0"/>
    <pivotField compact="0" outline="0" showAll="0"/>
    <pivotField compact="0" numFmtId="164" outline="0" showAll="0"/>
    <pivotField compact="0" numFmtId="164" outline="0" showAll="0"/>
    <pivotField compact="0" outline="0" showAll="0"/>
    <pivotField compact="0" outline="0" showAll="0"/>
  </pivotFields>
  <rowFields count="1">
    <field x="4"/>
  </rowFields>
  <rowItems count="5">
    <i>
      <x/>
    </i>
    <i>
      <x v="1"/>
    </i>
    <i>
      <x v="2"/>
    </i>
    <i>
      <x v="3"/>
    </i>
    <i t="grand">
      <x/>
    </i>
  </rowItems>
  <colItems count="1">
    <i/>
  </colItems>
  <dataFields count="1">
    <dataField name="Revenue" fld="9" baseField="0" baseItem="0"/>
  </dataFields>
  <formats count="1">
    <format dxfId="7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9.xml><?xml version="1.0" encoding="utf-8"?>
<pivotTableDefinition xmlns="http://schemas.openxmlformats.org/spreadsheetml/2006/main" xmlns:mc="http://schemas.openxmlformats.org/markup-compatibility/2006" xmlns:xr="http://schemas.microsoft.com/office/spreadsheetml/2014/revision" mc:Ignorable="xr" xr:uid="{BD075E2E-1A28-4034-9CD7-4F3470F8E9A2}" name="PivotTable40" cacheId="6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G2:H3" firstHeaderRow="0" firstDataRow="1" firstDataCol="0"/>
  <pivotFields count="19">
    <pivotField compact="0" numFmtId="14" outline="0" showAll="0"/>
    <pivotField compact="0" outline="0" showAll="0">
      <items count="5">
        <item x="1"/>
        <item x="0"/>
        <item x="2"/>
        <item x="3"/>
        <item t="default"/>
      </items>
    </pivotField>
    <pivotField compact="0" outline="0" showAll="0">
      <items count="5">
        <item x="3"/>
        <item x="2"/>
        <item x="0"/>
        <item x="1"/>
        <item t="default"/>
      </items>
    </pivotField>
    <pivotField compact="0" outline="0" showAll="0">
      <items count="5">
        <item x="3"/>
        <item x="0"/>
        <item x="1"/>
        <item x="2"/>
        <item t="default"/>
      </items>
    </pivotField>
    <pivotField compact="0" outline="0" showAll="0">
      <items count="5">
        <item x="2"/>
        <item x="1"/>
        <item x="3"/>
        <item x="0"/>
        <item t="default"/>
      </items>
    </pivotField>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9" outline="0" showAll="0"/>
    <pivotField compact="0" outline="0" showAll="0"/>
    <pivotField compact="0" numFmtId="164" outline="0" showAll="0"/>
    <pivotField dataField="1" compact="0" numFmtId="164" outline="0" showAll="0"/>
    <pivotField compact="0" outline="0" showAll="0"/>
    <pivotField compact="0" outline="0" showAll="0"/>
  </pivotFields>
  <rowItems count="1">
    <i/>
  </rowItems>
  <colFields count="1">
    <field x="-2"/>
  </colFields>
  <colItems count="2">
    <i>
      <x/>
    </i>
    <i i="1">
      <x v="1"/>
    </i>
  </colItems>
  <dataFields count="2">
    <dataField name="Sum of Spent" fld="5" baseField="0" baseItem="0"/>
    <dataField name="Sum of Profit" fld="16" baseField="0" baseItem="0" numFmtId="164"/>
  </dataFields>
  <formats count="1">
    <format dxfId="7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0.xml><?xml version="1.0" encoding="utf-8"?>
<pivotTableDefinition xmlns="http://schemas.openxmlformats.org/spreadsheetml/2006/main" xmlns:mc="http://schemas.openxmlformats.org/markup-compatibility/2006" xmlns:xr="http://schemas.microsoft.com/office/spreadsheetml/2014/revision" mc:Ignorable="xr" xr:uid="{5A47DD6E-E5BF-46D3-B8EA-B6F8CC1C2C65}" name="PivotTable24" cacheId="6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J46:K51" firstHeaderRow="1" firstDataRow="1" firstDataCol="1"/>
  <pivotFields count="19">
    <pivotField compact="0" numFmtId="14" outline="0" showAll="0"/>
    <pivotField compact="0" outline="0" showAll="0">
      <items count="5">
        <item x="1"/>
        <item x="0"/>
        <item x="2"/>
        <item x="3"/>
        <item t="default"/>
      </items>
    </pivotField>
    <pivotField compact="0" outline="0" showAll="0">
      <items count="5">
        <item x="3"/>
        <item x="2"/>
        <item x="0"/>
        <item x="1"/>
        <item t="default"/>
      </items>
    </pivotField>
    <pivotField compact="0" outline="0" showAll="0">
      <items count="5">
        <item x="3"/>
        <item x="0"/>
        <item x="1"/>
        <item x="2"/>
        <item t="default"/>
      </items>
    </pivotField>
    <pivotField axis="axisRow" compact="0" outline="0" showAll="0">
      <items count="5">
        <item x="2"/>
        <item x="1"/>
        <item x="3"/>
        <item x="0"/>
        <item t="default"/>
      </items>
    </pivotField>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numFmtId="9" outline="0" showAll="0"/>
    <pivotField compact="0" outline="0" showAll="0"/>
    <pivotField compact="0" numFmtId="164" outline="0" showAll="0"/>
    <pivotField compact="0" numFmtId="164" outline="0" showAll="0"/>
    <pivotField compact="0" outline="0" showAll="0"/>
    <pivotField compact="0" outline="0" showAll="0"/>
  </pivotFields>
  <rowFields count="1">
    <field x="4"/>
  </rowFields>
  <rowItems count="5">
    <i>
      <x/>
    </i>
    <i>
      <x v="1"/>
    </i>
    <i>
      <x v="2"/>
    </i>
    <i>
      <x v="3"/>
    </i>
    <i t="grand">
      <x/>
    </i>
  </rowItems>
  <colItems count="1">
    <i/>
  </colItems>
  <dataFields count="1">
    <dataField name="CPC" fld="11" subtotal="average" baseField="0" baseItem="0"/>
  </dataFields>
  <formats count="1">
    <format dxfId="7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1.xml><?xml version="1.0" encoding="utf-8"?>
<pivotTableDefinition xmlns="http://schemas.openxmlformats.org/spreadsheetml/2006/main" xmlns:mc="http://schemas.openxmlformats.org/markup-compatibility/2006" xmlns:xr="http://schemas.microsoft.com/office/spreadsheetml/2014/revision" mc:Ignorable="xr" xr:uid="{893099DF-9F52-4359-811A-F47265BEFC05}" name="PivotTable28" cacheId="6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N62:P67" firstHeaderRow="0" firstDataRow="1" firstDataCol="1"/>
  <pivotFields count="19">
    <pivotField compact="0" numFmtId="14" outline="0" showAll="0"/>
    <pivotField compact="0" outline="0" showAll="0">
      <items count="5">
        <item x="1"/>
        <item x="0"/>
        <item x="2"/>
        <item x="3"/>
        <item t="default"/>
      </items>
    </pivotField>
    <pivotField compact="0" outline="0" showAll="0">
      <items count="5">
        <item x="3"/>
        <item x="2"/>
        <item x="0"/>
        <item x="1"/>
        <item t="default"/>
      </items>
    </pivotField>
    <pivotField compact="0" outline="0" showAll="0">
      <items count="5">
        <item x="3"/>
        <item x="0"/>
        <item x="1"/>
        <item x="2"/>
        <item t="default"/>
      </items>
    </pivotField>
    <pivotField axis="axisRow" compact="0" outline="0" showAll="0">
      <items count="5">
        <item x="2"/>
        <item x="1"/>
        <item x="3"/>
        <item x="0"/>
        <item t="default"/>
      </items>
    </pivotField>
    <pivotField dataField="1"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numFmtId="9" outline="0" showAll="0"/>
    <pivotField compact="0" outline="0" showAll="0"/>
    <pivotField compact="0" numFmtId="164" outline="0" showAll="0"/>
    <pivotField compact="0" numFmtId="164" outline="0" showAll="0"/>
    <pivotField compact="0" outline="0" showAll="0"/>
    <pivotField compact="0" outline="0" showAll="0"/>
  </pivotFields>
  <rowFields count="1">
    <field x="4"/>
  </rowFields>
  <rowItems count="5">
    <i>
      <x/>
    </i>
    <i>
      <x v="1"/>
    </i>
    <i>
      <x v="2"/>
    </i>
    <i>
      <x v="3"/>
    </i>
    <i t="grand">
      <x/>
    </i>
  </rowItems>
  <colFields count="1">
    <field x="-2"/>
  </colFields>
  <colItems count="2">
    <i>
      <x/>
    </i>
    <i i="1">
      <x v="1"/>
    </i>
  </colItems>
  <dataFields count="2">
    <dataField name="Sum of Spent" fld="5" baseField="0" baseItem="0"/>
    <dataField name="Sum of Revenue-" fld="9" baseField="0" baseItem="0"/>
  </dataFields>
  <formats count="1">
    <format dxfId="7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2.xml><?xml version="1.0" encoding="utf-8"?>
<pivotTableDefinition xmlns="http://schemas.openxmlformats.org/spreadsheetml/2006/main" xmlns:mc="http://schemas.openxmlformats.org/markup-compatibility/2006" xmlns:xr="http://schemas.microsoft.com/office/spreadsheetml/2014/revision" mc:Ignorable="xr" xr:uid="{E8AF6F39-1344-4AB3-B944-8334BFF6B345}" name="PivotTable37" cacheId="6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Y38:AA43" firstHeaderRow="0" firstDataRow="1" firstDataCol="1"/>
  <pivotFields count="19">
    <pivotField compact="0" numFmtId="14" outline="0" showAll="0"/>
    <pivotField compact="0" outline="0" showAll="0">
      <items count="5">
        <item x="1"/>
        <item x="0"/>
        <item x="2"/>
        <item x="3"/>
        <item t="default"/>
      </items>
    </pivotField>
    <pivotField compact="0" outline="0" showAll="0">
      <items count="5">
        <item x="3"/>
        <item x="2"/>
        <item x="0"/>
        <item x="1"/>
        <item t="default"/>
      </items>
    </pivotField>
    <pivotField compact="0" outline="0" showAll="0">
      <items count="5">
        <item x="3"/>
        <item x="0"/>
        <item x="1"/>
        <item x="2"/>
        <item t="default"/>
      </items>
    </pivotField>
    <pivotField axis="axisRow" compact="0" outline="0" showAll="0">
      <items count="5">
        <item x="2"/>
        <item x="1"/>
        <item x="3"/>
        <item x="0"/>
        <item t="default"/>
      </items>
    </pivotField>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9" outline="0" showAll="0"/>
    <pivotField compact="0" outline="0" showAll="0"/>
    <pivotField compact="0" numFmtId="164" outline="0" showAll="0"/>
    <pivotField dataField="1" compact="0" numFmtId="164" outline="0" showAll="0"/>
    <pivotField compact="0" outline="0" showAll="0"/>
    <pivotField compact="0" outline="0" showAll="0"/>
  </pivotFields>
  <rowFields count="1">
    <field x="4"/>
  </rowFields>
  <rowItems count="5">
    <i>
      <x/>
    </i>
    <i>
      <x v="1"/>
    </i>
    <i>
      <x v="2"/>
    </i>
    <i>
      <x v="3"/>
    </i>
    <i t="grand">
      <x/>
    </i>
  </rowItems>
  <colFields count="1">
    <field x="-2"/>
  </colFields>
  <colItems count="2">
    <i>
      <x/>
    </i>
    <i i="1">
      <x v="1"/>
    </i>
  </colItems>
  <dataFields count="2">
    <dataField name="Sum of Spent" fld="5" baseField="0" baseItem="0"/>
    <dataField name="Sum of Profit" fld="16" baseField="0" baseItem="0" numFmtId="164"/>
  </dataFields>
  <formats count="1">
    <format dxfId="7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3.xml><?xml version="1.0" encoding="utf-8"?>
<pivotTableDefinition xmlns="http://schemas.openxmlformats.org/spreadsheetml/2006/main" xmlns:mc="http://schemas.openxmlformats.org/markup-compatibility/2006" xmlns:xr="http://schemas.microsoft.com/office/spreadsheetml/2014/revision" mc:Ignorable="xr" xr:uid="{0AB702C1-2630-4468-AD10-D7D1A6CD22F3}" name="PivotTable30" cacheId="6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V62:X67" firstHeaderRow="0" firstDataRow="1" firstDataCol="1"/>
  <pivotFields count="19">
    <pivotField compact="0" numFmtId="14" outline="0" showAll="0"/>
    <pivotField axis="axisRow" compact="0" outline="0" showAll="0">
      <items count="5">
        <item x="1"/>
        <item x="0"/>
        <item x="2"/>
        <item x="3"/>
        <item t="default"/>
      </items>
    </pivotField>
    <pivotField compact="0" outline="0" showAll="0">
      <items count="5">
        <item x="3"/>
        <item x="2"/>
        <item x="0"/>
        <item x="1"/>
        <item t="default"/>
      </items>
    </pivotField>
    <pivotField compact="0" outline="0" showAll="0">
      <items count="5">
        <item x="3"/>
        <item x="0"/>
        <item x="1"/>
        <item x="2"/>
        <item t="default"/>
      </items>
    </pivotField>
    <pivotField compact="0" outline="0" showAll="0">
      <items count="5">
        <item x="2"/>
        <item x="1"/>
        <item x="3"/>
        <item x="0"/>
        <item t="default"/>
      </items>
    </pivotField>
    <pivotField compact="0" outline="0" showAll="0"/>
    <pivotField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 compact="0" numFmtId="9" outline="0" showAll="0"/>
    <pivotField compact="0" outline="0" showAll="0"/>
    <pivotField compact="0" numFmtId="164" outline="0" showAll="0"/>
    <pivotField compact="0" numFmtId="164" outline="0" showAll="0"/>
    <pivotField compact="0" outline="0" showAll="0"/>
    <pivotField compact="0" outline="0" showAll="0"/>
  </pivotFields>
  <rowFields count="1">
    <field x="1"/>
  </rowFields>
  <rowItems count="5">
    <i>
      <x/>
    </i>
    <i>
      <x v="1"/>
    </i>
    <i>
      <x v="2"/>
    </i>
    <i>
      <x v="3"/>
    </i>
    <i t="grand">
      <x/>
    </i>
  </rowItems>
  <colFields count="1">
    <field x="-2"/>
  </colFields>
  <colItems count="2">
    <i>
      <x/>
    </i>
    <i i="1">
      <x v="1"/>
    </i>
  </colItems>
  <dataFields count="2">
    <dataField name="Sum of Clicks-" fld="7" baseField="0" baseItem="0"/>
    <dataField name="Sum of Conversions-" fld="8" baseField="0" baseItem="0"/>
  </dataFields>
  <formats count="1">
    <format dxfId="7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4.xml><?xml version="1.0" encoding="utf-8"?>
<pivotTableDefinition xmlns="http://schemas.openxmlformats.org/spreadsheetml/2006/main" xmlns:mc="http://schemas.openxmlformats.org/markup-compatibility/2006" xmlns:xr="http://schemas.microsoft.com/office/spreadsheetml/2014/revision" mc:Ignorable="xr" xr:uid="{C0F57452-4533-414D-857E-9B527BC76974}" name="PivotTable10" cacheId="6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D22:E27" firstHeaderRow="1" firstDataRow="1" firstDataCol="1"/>
  <pivotFields count="19">
    <pivotField compact="0" numFmtId="14" outline="0" showAll="0"/>
    <pivotField compact="0" outline="0" showAll="0">
      <items count="5">
        <item x="1"/>
        <item x="0"/>
        <item x="2"/>
        <item x="3"/>
        <item t="default"/>
      </items>
    </pivotField>
    <pivotField compact="0" outline="0" showAll="0">
      <items count="5">
        <item x="3"/>
        <item x="2"/>
        <item x="0"/>
        <item x="1"/>
        <item t="default"/>
      </items>
    </pivotField>
    <pivotField compact="0" outline="0" showAll="0">
      <items count="5">
        <item x="3"/>
        <item x="0"/>
        <item x="1"/>
        <item x="2"/>
        <item t="default"/>
      </items>
    </pivotField>
    <pivotField axis="axisRow" compact="0" outline="0" showAll="0">
      <items count="5">
        <item x="2"/>
        <item x="1"/>
        <item x="3"/>
        <item x="0"/>
        <item t="default"/>
      </items>
    </pivotField>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9" outline="0" showAll="0"/>
    <pivotField compact="0" outline="0" showAll="0"/>
    <pivotField compact="0" numFmtId="164" outline="0" showAll="0"/>
    <pivotField compact="0" numFmtId="164" outline="0" showAll="0"/>
    <pivotField compact="0" outline="0" showAll="0"/>
    <pivotField compact="0" outline="0" showAll="0"/>
  </pivotFields>
  <rowFields count="1">
    <field x="4"/>
  </rowFields>
  <rowItems count="5">
    <i>
      <x/>
    </i>
    <i>
      <x v="1"/>
    </i>
    <i>
      <x v="2"/>
    </i>
    <i>
      <x v="3"/>
    </i>
    <i t="grand">
      <x/>
    </i>
  </rowItems>
  <colItems count="1">
    <i/>
  </colItems>
  <dataFields count="1">
    <dataField name="Total Impressions" fld="6" baseField="0" baseItem="0"/>
  </dataFields>
  <formats count="1">
    <format dxfId="7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5.xml><?xml version="1.0" encoding="utf-8"?>
<pivotTableDefinition xmlns="http://schemas.openxmlformats.org/spreadsheetml/2006/main" xmlns:mc="http://schemas.openxmlformats.org/markup-compatibility/2006" xmlns:xr="http://schemas.microsoft.com/office/spreadsheetml/2014/revision" mc:Ignorable="xr" xr:uid="{DDAEA7C0-668E-4B1E-94A8-824F352E775F}" name="PivotTable23" cacheId="6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G46:H51" firstHeaderRow="1" firstDataRow="1" firstDataCol="1"/>
  <pivotFields count="19">
    <pivotField compact="0" numFmtId="14" outline="0" showAll="0"/>
    <pivotField compact="0" outline="0" showAll="0">
      <items count="5">
        <item x="1"/>
        <item x="0"/>
        <item x="2"/>
        <item x="3"/>
        <item t="default"/>
      </items>
    </pivotField>
    <pivotField compact="0" outline="0" showAll="0">
      <items count="5">
        <item x="3"/>
        <item x="2"/>
        <item x="0"/>
        <item x="1"/>
        <item t="default"/>
      </items>
    </pivotField>
    <pivotField axis="axisRow" compact="0" outline="0" showAll="0">
      <items count="5">
        <item x="3"/>
        <item x="0"/>
        <item x="1"/>
        <item x="2"/>
        <item t="default"/>
      </items>
    </pivotField>
    <pivotField compact="0" outline="0" showAll="0">
      <items count="5">
        <item x="2"/>
        <item x="1"/>
        <item x="3"/>
        <item x="0"/>
        <item t="default"/>
      </items>
    </pivotField>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numFmtId="9" outline="0" showAll="0"/>
    <pivotField compact="0" outline="0" showAll="0"/>
    <pivotField compact="0" numFmtId="164" outline="0" showAll="0"/>
    <pivotField compact="0" numFmtId="164" outline="0" showAll="0"/>
    <pivotField compact="0" outline="0" showAll="0"/>
    <pivotField compact="0" outline="0" showAll="0"/>
  </pivotFields>
  <rowFields count="1">
    <field x="3"/>
  </rowFields>
  <rowItems count="5">
    <i>
      <x/>
    </i>
    <i>
      <x v="1"/>
    </i>
    <i>
      <x v="2"/>
    </i>
    <i>
      <x v="3"/>
    </i>
    <i t="grand">
      <x/>
    </i>
  </rowItems>
  <colItems count="1">
    <i/>
  </colItems>
  <dataFields count="1">
    <dataField name="CPC" fld="11" subtotal="average" baseField="0" baseItem="0"/>
  </dataFields>
  <formats count="1">
    <format dxfId="7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6.xml><?xml version="1.0" encoding="utf-8"?>
<pivotTableDefinition xmlns="http://schemas.openxmlformats.org/spreadsheetml/2006/main" xmlns:mc="http://schemas.openxmlformats.org/markup-compatibility/2006" xmlns:xr="http://schemas.microsoft.com/office/spreadsheetml/2014/revision" mc:Ignorable="xr" xr:uid="{C779E9EA-6236-421C-89B8-D723605BF900}" name="PivotTable32" cacheId="6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E62:AG67" firstHeaderRow="0" firstDataRow="1" firstDataCol="1"/>
  <pivotFields count="19">
    <pivotField compact="0" numFmtId="14" outline="0" showAll="0"/>
    <pivotField compact="0" outline="0" showAll="0">
      <items count="5">
        <item x="1"/>
        <item x="0"/>
        <item x="2"/>
        <item x="3"/>
        <item t="default"/>
      </items>
    </pivotField>
    <pivotField compact="0" outline="0" showAll="0">
      <items count="5">
        <item x="3"/>
        <item x="2"/>
        <item x="0"/>
        <item x="1"/>
        <item t="default"/>
      </items>
    </pivotField>
    <pivotField compact="0" outline="0" showAll="0">
      <items count="5">
        <item x="3"/>
        <item x="0"/>
        <item x="1"/>
        <item x="2"/>
        <item t="default"/>
      </items>
    </pivotField>
    <pivotField axis="axisRow" compact="0" outline="0" showAll="0">
      <items count="5">
        <item x="2"/>
        <item x="1"/>
        <item x="3"/>
        <item x="0"/>
        <item t="default"/>
      </items>
    </pivotField>
    <pivotField compact="0" outline="0" showAll="0"/>
    <pivotField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 compact="0" numFmtId="9" outline="0" showAll="0"/>
    <pivotField compact="0" outline="0" showAll="0"/>
    <pivotField compact="0" numFmtId="164" outline="0" showAll="0"/>
    <pivotField compact="0" numFmtId="164" outline="0" showAll="0"/>
    <pivotField compact="0" outline="0" showAll="0"/>
    <pivotField compact="0" outline="0" showAll="0"/>
  </pivotFields>
  <rowFields count="1">
    <field x="4"/>
  </rowFields>
  <rowItems count="5">
    <i>
      <x/>
    </i>
    <i>
      <x v="1"/>
    </i>
    <i>
      <x v="2"/>
    </i>
    <i>
      <x v="3"/>
    </i>
    <i t="grand">
      <x/>
    </i>
  </rowItems>
  <colFields count="1">
    <field x="-2"/>
  </colFields>
  <colItems count="2">
    <i>
      <x/>
    </i>
    <i i="1">
      <x v="1"/>
    </i>
  </colItems>
  <dataFields count="2">
    <dataField name="Sum of Clicks-" fld="7" baseField="0" baseItem="0"/>
    <dataField name="Sum of Conversions-" fld="8" baseField="0" baseItem="0"/>
  </dataFields>
  <formats count="1">
    <format dxfId="7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C37A136-3600-49FC-AB50-C410D0101AC6}" sourceName="Region">
  <pivotTables>
    <pivotTable tabId="5" name="PivotTable1"/>
    <pivotTable tabId="5" name="PivotTable48"/>
    <pivotTable tabId="5" name="PivotTable47"/>
    <pivotTable tabId="5" name="PivotTable43"/>
    <pivotTable tabId="5" name="PivotTable35"/>
    <pivotTable tabId="5" name="PivotTable27"/>
    <pivotTable tabId="5" name="PivotTable45"/>
    <pivotTable tabId="5" name="PivotTable23"/>
    <pivotTable tabId="5" name="PivotTable25"/>
    <pivotTable tabId="5" name="PivotTable37"/>
    <pivotTable tabId="5" name="PivotTable8"/>
    <pivotTable tabId="5" name="PivotTable24"/>
    <pivotTable tabId="5" name="PivotTable34"/>
    <pivotTable tabId="5" name="PivotTable30"/>
    <pivotTable tabId="5" name="PivotTable14"/>
    <pivotTable tabId="5" name="PivotTable16"/>
    <pivotTable tabId="5" name="PivotTable26"/>
    <pivotTable tabId="5" name="PivotTable4"/>
    <pivotTable tabId="5" name="PivotTable3"/>
    <pivotTable tabId="5" name="PivotTable9"/>
    <pivotTable tabId="5" name="PivotTable11"/>
    <pivotTable tabId="5" name="PivotTable22"/>
    <pivotTable tabId="5" name="PivotTable28"/>
    <pivotTable tabId="5" name="PivotTable38"/>
    <pivotTable tabId="5" name="PivotTable42"/>
    <pivotTable tabId="5" name="PivotTable5"/>
    <pivotTable tabId="5" name="PivotTable20"/>
    <pivotTable tabId="5" name="PivotTable41"/>
    <pivotTable tabId="5" name="PivotTable32"/>
    <pivotTable tabId="5" name="PivotTable29"/>
    <pivotTable tabId="5" name="PivotTable40"/>
    <pivotTable tabId="5" name="PivotTable15"/>
    <pivotTable tabId="5" name="PivotTable44"/>
    <pivotTable tabId="5" name="PivotTable7"/>
    <pivotTable tabId="5" name="PivotTable46"/>
    <pivotTable tabId="5" name="PivotTable33"/>
    <pivotTable tabId="5" name="PivotTable39"/>
    <pivotTable tabId="5" name="PivotTable36"/>
    <pivotTable tabId="5" name="PivotTable31"/>
    <pivotTable tabId="5" name="PivotTable6"/>
    <pivotTable tabId="5" name="PivotTable10"/>
    <pivotTable tabId="5" name="PivotTable2"/>
    <pivotTable tabId="5" name="PivotTable21"/>
    <pivotTable tabId="5" name="PivotTable17"/>
    <pivotTable tabId="5" name="PivotTable18"/>
    <pivotTable tabId="5" name="PivotTable12"/>
  </pivotTables>
  <data>
    <tabular pivotCacheId="1402581809">
      <items count="4">
        <i x="1" s="1"/>
        <i x="0"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BBF7F86D-7A1E-40A2-A9A3-6EB36169B6B7}" sourceName="Product">
  <pivotTables>
    <pivotTable tabId="5" name="PivotTable1"/>
    <pivotTable tabId="5" name="PivotTable48"/>
    <pivotTable tabId="5" name="PivotTable47"/>
    <pivotTable tabId="5" name="PivotTable21"/>
    <pivotTable tabId="5" name="PivotTable43"/>
    <pivotTable tabId="5" name="PivotTable35"/>
    <pivotTable tabId="5" name="PivotTable33"/>
    <pivotTable tabId="5" name="PivotTable45"/>
    <pivotTable tabId="5" name="PivotTable23"/>
    <pivotTable tabId="5" name="PivotTable46"/>
    <pivotTable tabId="5" name="PivotTable7"/>
    <pivotTable tabId="5" name="PivotTable44"/>
    <pivotTable tabId="5" name="PivotTable10"/>
    <pivotTable tabId="5" name="PivotTable27"/>
    <pivotTable tabId="5" name="PivotTable2"/>
    <pivotTable tabId="5" name="PivotTable15"/>
    <pivotTable tabId="5" name="PivotTable40"/>
    <pivotTable tabId="5" name="PivotTable25"/>
    <pivotTable tabId="5" name="PivotTable34"/>
    <pivotTable tabId="5" name="PivotTable8"/>
    <pivotTable tabId="5" name="PivotTable24"/>
    <pivotTable tabId="5" name="PivotTable14"/>
    <pivotTable tabId="5" name="PivotTable16"/>
    <pivotTable tabId="5" name="PivotTable26"/>
    <pivotTable tabId="5" name="PivotTable4"/>
    <pivotTable tabId="5" name="PivotTable3"/>
    <pivotTable tabId="5" name="PivotTable9"/>
    <pivotTable tabId="5" name="PivotTable11"/>
    <pivotTable tabId="5" name="PivotTable22"/>
    <pivotTable tabId="5" name="PivotTable38"/>
    <pivotTable tabId="5" name="PivotTable28"/>
    <pivotTable tabId="5" name="PivotTable42"/>
    <pivotTable tabId="5" name="PivotTable5"/>
    <pivotTable tabId="5" name="PivotTable20"/>
    <pivotTable tabId="5" name="PivotTable32"/>
    <pivotTable tabId="5" name="PivotTable36"/>
    <pivotTable tabId="5" name="PivotTable29"/>
    <pivotTable tabId="5" name="PivotTable6"/>
    <pivotTable tabId="5" name="PivotTable31"/>
    <pivotTable tabId="5" name="PivotTable41"/>
    <pivotTable tabId="5" name="PivotTable39"/>
    <pivotTable tabId="5" name="PivotTable30"/>
    <pivotTable tabId="5" name="PivotTable37"/>
    <pivotTable tabId="5" name="PivotTable17"/>
    <pivotTable tabId="5" name="PivotTable18"/>
    <pivotTable tabId="5" name="PivotTable12"/>
  </pivotTables>
  <data>
    <tabular pivotCacheId="1402581809">
      <items count="4">
        <i x="3" s="1"/>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DE9D011E-7DB8-4E3C-9244-904B11C70F64}" sourceName="Channel">
  <pivotTables>
    <pivotTable tabId="5" name="PivotTable1"/>
    <pivotTable tabId="5" name="PivotTable25"/>
    <pivotTable tabId="5" name="PivotTable34"/>
    <pivotTable tabId="5" name="PivotTable37"/>
    <pivotTable tabId="5" name="PivotTable30"/>
    <pivotTable tabId="5" name="PivotTable24"/>
    <pivotTable tabId="5" name="PivotTable8"/>
    <pivotTable tabId="5" name="PivotTable48"/>
    <pivotTable tabId="5" name="PivotTable47"/>
    <pivotTable tabId="5" name="PivotTable21"/>
    <pivotTable tabId="5" name="PivotTable35"/>
    <pivotTable tabId="5" name="PivotTable33"/>
    <pivotTable tabId="5" name="PivotTable10"/>
    <pivotTable tabId="5" name="PivotTable23"/>
    <pivotTable tabId="5" name="PivotTable7"/>
    <pivotTable tabId="5" name="PivotTable2"/>
    <pivotTable tabId="5" name="PivotTable6"/>
    <pivotTable tabId="5" name="PivotTable43"/>
    <pivotTable tabId="5" name="PivotTable27"/>
    <pivotTable tabId="5" name="PivotTable45"/>
    <pivotTable tabId="5" name="PivotTable46"/>
    <pivotTable tabId="5" name="PivotTable44"/>
    <pivotTable tabId="5" name="PivotTable40"/>
    <pivotTable tabId="5" name="PivotTable15"/>
    <pivotTable tabId="5" name="PivotTable31"/>
    <pivotTable tabId="5" name="PivotTable36"/>
    <pivotTable tabId="5" name="PivotTable32"/>
    <pivotTable tabId="5" name="PivotTable5"/>
    <pivotTable tabId="5" name="PivotTable42"/>
    <pivotTable tabId="5" name="PivotTable38"/>
    <pivotTable tabId="5" name="PivotTable28"/>
    <pivotTable tabId="5" name="PivotTable11"/>
    <pivotTable tabId="5" name="PivotTable9"/>
    <pivotTable tabId="5" name="PivotTable14"/>
    <pivotTable tabId="5" name="PivotTable16"/>
    <pivotTable tabId="5" name="PivotTable4"/>
    <pivotTable tabId="5" name="PivotTable29"/>
    <pivotTable tabId="5" name="PivotTable20"/>
    <pivotTable tabId="5" name="PivotTable41"/>
    <pivotTable tabId="5" name="PivotTable3"/>
    <pivotTable tabId="5" name="PivotTable26"/>
    <pivotTable tabId="5" name="PivotTable22"/>
    <pivotTable tabId="5" name="PivotTable17"/>
    <pivotTable tabId="5" name="PivotTable18"/>
    <pivotTable tabId="5" name="PivotTable12"/>
    <pivotTable tabId="5" name="PivotTable39"/>
  </pivotTables>
  <data>
    <tabular pivotCacheId="1402581809">
      <items count="4">
        <i x="3" s="1"/>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A2D5ADA8-55FC-4BDE-9328-B540775E78F1}" sourceName="Quarter">
  <pivotTables>
    <pivotTable tabId="5" name="PivotTable1"/>
    <pivotTable tabId="5" name="PivotTable48"/>
    <pivotTable tabId="5" name="PivotTable21"/>
    <pivotTable tabId="5" name="PivotTable35"/>
    <pivotTable tabId="5" name="PivotTable47"/>
    <pivotTable tabId="5" name="PivotTable27"/>
    <pivotTable tabId="5" name="PivotTable33"/>
    <pivotTable tabId="5" name="PivotTable45"/>
    <pivotTable tabId="5" name="PivotTable23"/>
    <pivotTable tabId="5" name="PivotTable46"/>
    <pivotTable tabId="5" name="PivotTable10"/>
    <pivotTable tabId="5" name="PivotTable43"/>
    <pivotTable tabId="5" name="PivotTable7"/>
    <pivotTable tabId="5" name="PivotTable44"/>
    <pivotTable tabId="5" name="PivotTable15"/>
    <pivotTable tabId="5" name="PivotTable40"/>
    <pivotTable tabId="5" name="PivotTable29"/>
    <pivotTable tabId="5" name="PivotTable31"/>
    <pivotTable tabId="5" name="PivotTable2"/>
    <pivotTable tabId="5" name="PivotTable25"/>
    <pivotTable tabId="5" name="PivotTable37"/>
    <pivotTable tabId="5" name="PivotTable30"/>
    <pivotTable tabId="5" name="PivotTable34"/>
    <pivotTable tabId="5" name="PivotTable8"/>
    <pivotTable tabId="5" name="PivotTable24"/>
    <pivotTable tabId="5" name="PivotTable14"/>
    <pivotTable tabId="5" name="PivotTable26"/>
    <pivotTable tabId="5" name="PivotTable3"/>
    <pivotTable tabId="5" name="PivotTable41"/>
    <pivotTable tabId="5" name="PivotTable36"/>
    <pivotTable tabId="5" name="PivotTable32"/>
    <pivotTable tabId="5" name="PivotTable6"/>
    <pivotTable tabId="5" name="PivotTable16"/>
    <pivotTable tabId="5" name="PivotTable28"/>
    <pivotTable tabId="5" name="PivotTable42"/>
    <pivotTable tabId="5" name="PivotTable5"/>
    <pivotTable tabId="5" name="PivotTable22"/>
    <pivotTable tabId="5" name="PivotTable11"/>
    <pivotTable tabId="5" name="PivotTable20"/>
    <pivotTable tabId="5" name="PivotTable38"/>
    <pivotTable tabId="5" name="PivotTable9"/>
    <pivotTable tabId="5" name="PivotTable4"/>
    <pivotTable tabId="5" name="PivotTable17"/>
    <pivotTable tabId="5" name="PivotTable18"/>
    <pivotTable tabId="5" name="PivotTable12"/>
    <pivotTable tabId="5" name="PivotTable39"/>
  </pivotTables>
  <data>
    <tabular pivotCacheId="1402581809">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4D983E0-EB2A-46E0-8358-D35A7CDE763F}" cache="Slicer_Region" caption="Region" startItem="1" rowHeight="228600"/>
  <slicer name="Product" xr10:uid="{D21EE656-417E-4319-B79A-7F84FF99644D}" cache="Slicer_Product" caption="Product" rowHeight="228600"/>
  <slicer name="Channel" xr10:uid="{2D71BAE6-1221-4446-A4C8-D982EC048BBA}" cache="Slicer_Channel" caption="Channel" rowHeight="228600"/>
  <slicer name="Quarter" xr10:uid="{8C893DBF-8396-4A4A-9A1C-B9B7F2A1FA7D}" cache="Slicer_Quarter" caption="Quarter" rowHeight="2286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annel 1" xr10:uid="{2969DB0F-4FED-442B-9452-12AC6B1FB373}" cache="Slicer_Channel" caption="Channel" columnCount="2" style="SlicerStyleLight6" rowHeight="252000"/>
  <slicer name="Quarter 1" xr10:uid="{C50D1C88-C8C0-4B1A-A678-58254BFBF15D}" cache="Slicer_Quarter" caption="Quarter" columnCount="2" style="SlicerStyleLight6" rowHeight="252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796F1869-EFBA-440C-9D45-A5866BFF111B}" cache="Slicer_Region" caption="Region" startItem="1" style="SlicerStyleOther2" rowHeight="223200"/>
  <slicer name="Product 1" xr10:uid="{2BE5A016-F26B-4FEC-BB98-AFF379C2AB39}" cache="Slicer_Product" caption="Product" style="SlicerStyleOther2" rowHeight="223200"/>
  <slicer name="Channel 2" xr10:uid="{70EDE630-CEB4-47FB-8DAE-E88437A61635}" cache="Slicer_Channel" caption="Channel" style="SlicerStyleDark1" rowHeight="223200"/>
  <slicer name="Quarter 2" xr10:uid="{30D83952-F1C0-4FDF-BDE3-2BDC5AF0F34E}" cache="Slicer_Quarter" caption="Quarter" style="SlicerStyleDark1" rowHeight="2232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F31F8D47-61DE-46AF-A11A-09F12B2665C5}" cache="Slicer_Region" caption="Region" style="SlicerStyleDark1" rowHeight="219600"/>
  <slicer name="Product 2" xr10:uid="{41A6AC1C-AF07-44ED-B9F4-F6F6DB2A9B91}" cache="Slicer_Product" caption="Product" style="SlicerStyleDark6" rowHeight="219600"/>
  <slicer name="Channel 3" xr10:uid="{98B2FC91-B0CF-4D3C-85D2-E58B1F50A8FB}" cache="Slicer_Channel" caption="Channel" style="SlicerStyleDark6" rowHeight="219600"/>
  <slicer name="Quarter 3" xr10:uid="{76961B18-FA1B-441A-80B1-424AEA7A264B}" cache="Slicer_Quarter" caption="Quarter" style="SlicerStyleDark1" rowHeight="2286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6EADAA01-83EC-4551-A54E-B2FC674A9F1B}" cache="Slicer_Region" caption="Region" style="SlicerStyleDark1" rowHeight="209550"/>
  <slicer name="Product 3" xr10:uid="{766299EB-C3A2-46D8-990F-74A1B78B7DA6}" cache="Slicer_Product" caption="Product" style="SlicerStyleDark1" rowHeight="228600"/>
  <slicer name="Channel 4" xr10:uid="{0AB4E61C-68CB-43BB-AC07-F35718ED52B2}" cache="Slicer_Channel" caption="Channel" style="SlicerStyleDark4" rowHeight="228600"/>
  <slicer name="Quarter 4" xr10:uid="{77693921-09F9-43E9-A33C-22C4D6398038}" cache="Slicer_Quarter" caption="Quarter" style="SlicerStyleDark4" rowHeight="2286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C81AB54-6F9D-4BAC-8860-9342DA00E208}" name="Table1" displayName="Table1" ref="A1:S101" totalsRowShown="0" headerRowDxfId="101" dataDxfId="99" headerRowBorderDxfId="100" tableBorderDxfId="98">
  <autoFilter ref="A1:S101" xr:uid="{EC81AB54-6F9D-4BAC-8860-9342DA00E208}"/>
  <tableColumns count="19">
    <tableColumn id="1" xr3:uid="{F57E0E5B-410A-462E-A2E2-7EF550B25BD5}" name="Date" dataDxfId="97"/>
    <tableColumn id="2" xr3:uid="{5EC3FC4D-21F2-4930-B6A6-8639A457F2E9}" name="Region" dataDxfId="96"/>
    <tableColumn id="3" xr3:uid="{AFC56969-D98E-4520-AEE9-D1B10C75D185}" name="Product" dataDxfId="95"/>
    <tableColumn id="4" xr3:uid="{642B9B4C-053D-42FD-93B6-701E00BB61F7}" name="Channel" dataDxfId="94"/>
    <tableColumn id="5" xr3:uid="{D457F2C9-0019-4014-BDAD-F78FB7B1F0E2}" name="Quarter" dataDxfId="93"/>
    <tableColumn id="6" xr3:uid="{BDAE0EFD-5D5A-4A1E-9063-786F03871A52}" name="Spent" dataDxfId="92"/>
    <tableColumn id="7" xr3:uid="{3E8A9075-0D7E-412F-9FC8-C7C75175959F}" name="Impressions-" dataDxfId="91"/>
    <tableColumn id="8" xr3:uid="{161EFEFF-1F76-41B2-B57B-F3E834A5D58B}" name="Clicks-" dataDxfId="90"/>
    <tableColumn id="9" xr3:uid="{D2AACAF8-788E-4657-8AF0-3EE06556B356}" name="Conversions-" dataDxfId="89"/>
    <tableColumn id="10" xr3:uid="{26496FE8-68CE-4E72-BB31-F01DA49569B1}" name="Revenue-" dataDxfId="88"/>
    <tableColumn id="11" xr3:uid="{795E3721-35EC-4593-AA3A-52DD0BED20FC}" name="CTR-" dataDxfId="87"/>
    <tableColumn id="12" xr3:uid="{1C3957DE-AE65-47D8-876D-3E0CEB513659}" name="CPC-" dataDxfId="86"/>
    <tableColumn id="13" xr3:uid="{4F8F3A4D-108A-4A05-BAF6-3AA37F6EC64E}" name="ROI-" dataDxfId="85"/>
    <tableColumn id="14" xr3:uid="{2C8ACB28-2AC9-48C4-95D1-ED8B852B127B}" name="Conversion Rate " dataDxfId="84">
      <calculatedColumnFormula>I2/H2</calculatedColumnFormula>
    </tableColumn>
    <tableColumn id="15" xr3:uid="{3A5252CA-B916-4356-B60A-4E5D44B7C8A2}" name="Conversion Rate 2" dataDxfId="83">
      <calculatedColumnFormula>Table1[[#This Row],[Conversions-]]/Table1[[#This Row],[Clicks-]]*100</calculatedColumnFormula>
    </tableColumn>
    <tableColumn id="16" xr3:uid="{45DBE5C3-87BA-4258-A244-F5F1EAAA9FF5}" name="Revenue/ $ Spent" dataDxfId="82">
      <calculatedColumnFormula>SUM(Table1[Revenue-])/SUM(Table1[Spent])</calculatedColumnFormula>
    </tableColumn>
    <tableColumn id="17" xr3:uid="{184417EC-C6CE-454F-A1BC-755653A27AD3}" name="Profit" dataDxfId="81">
      <calculatedColumnFormula>Table1[[#This Row],[Revenue-]]-Table1[[#This Row],[Spent]]</calculatedColumnFormula>
    </tableColumn>
    <tableColumn id="18" xr3:uid="{51D66604-82E0-4F8B-A49B-A54923D2364E}" name="Month " dataDxfId="80">
      <calculatedColumnFormula>TEXT(A2,"mmm")</calculatedColumnFormula>
    </tableColumn>
    <tableColumn id="19" xr3:uid="{05584C1E-AF68-4E28-ABBE-27F1C099F3B4}" name="Year" dataDxfId="79">
      <calculatedColumnFormula>TEXT(A2,"YYYY")</calculatedColumnFormula>
    </tableColum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9" Type="http://schemas.openxmlformats.org/officeDocument/2006/relationships/pivotTable" Target="../pivotTables/pivotTable39.xml"/><Relationship Id="rId21" Type="http://schemas.openxmlformats.org/officeDocument/2006/relationships/pivotTable" Target="../pivotTables/pivotTable21.xml"/><Relationship Id="rId34" Type="http://schemas.openxmlformats.org/officeDocument/2006/relationships/pivotTable" Target="../pivotTables/pivotTable34.xml"/><Relationship Id="rId42" Type="http://schemas.openxmlformats.org/officeDocument/2006/relationships/pivotTable" Target="../pivotTables/pivotTable42.xml"/><Relationship Id="rId47" Type="http://schemas.openxmlformats.org/officeDocument/2006/relationships/drawing" Target="../drawings/drawing2.xml"/><Relationship Id="rId7" Type="http://schemas.openxmlformats.org/officeDocument/2006/relationships/pivotTable" Target="../pivotTables/pivotTable7.xml"/><Relationship Id="rId2" Type="http://schemas.openxmlformats.org/officeDocument/2006/relationships/pivotTable" Target="../pivotTables/pivotTable2.xml"/><Relationship Id="rId16" Type="http://schemas.openxmlformats.org/officeDocument/2006/relationships/pivotTable" Target="../pivotTables/pivotTable16.xml"/><Relationship Id="rId29" Type="http://schemas.openxmlformats.org/officeDocument/2006/relationships/pivotTable" Target="../pivotTables/pivotTable29.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32" Type="http://schemas.openxmlformats.org/officeDocument/2006/relationships/pivotTable" Target="../pivotTables/pivotTable32.xml"/><Relationship Id="rId37" Type="http://schemas.openxmlformats.org/officeDocument/2006/relationships/pivotTable" Target="../pivotTables/pivotTable37.xml"/><Relationship Id="rId40" Type="http://schemas.openxmlformats.org/officeDocument/2006/relationships/pivotTable" Target="../pivotTables/pivotTable40.xml"/><Relationship Id="rId45" Type="http://schemas.openxmlformats.org/officeDocument/2006/relationships/pivotTable" Target="../pivotTables/pivotTable45.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openxmlformats.org/officeDocument/2006/relationships/pivotTable" Target="../pivotTables/pivotTable28.xml"/><Relationship Id="rId36" Type="http://schemas.openxmlformats.org/officeDocument/2006/relationships/pivotTable" Target="../pivotTables/pivotTable36.xml"/><Relationship Id="rId10" Type="http://schemas.openxmlformats.org/officeDocument/2006/relationships/pivotTable" Target="../pivotTables/pivotTable10.xml"/><Relationship Id="rId19" Type="http://schemas.openxmlformats.org/officeDocument/2006/relationships/pivotTable" Target="../pivotTables/pivotTable19.xml"/><Relationship Id="rId31" Type="http://schemas.openxmlformats.org/officeDocument/2006/relationships/pivotTable" Target="../pivotTables/pivotTable31.xml"/><Relationship Id="rId44" Type="http://schemas.openxmlformats.org/officeDocument/2006/relationships/pivotTable" Target="../pivotTables/pivotTable44.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ivotTable" Target="../pivotTables/pivotTable27.xml"/><Relationship Id="rId30" Type="http://schemas.openxmlformats.org/officeDocument/2006/relationships/pivotTable" Target="../pivotTables/pivotTable30.xml"/><Relationship Id="rId35" Type="http://schemas.openxmlformats.org/officeDocument/2006/relationships/pivotTable" Target="../pivotTables/pivotTable35.xml"/><Relationship Id="rId43" Type="http://schemas.openxmlformats.org/officeDocument/2006/relationships/pivotTable" Target="../pivotTables/pivotTable43.xml"/><Relationship Id="rId48" Type="http://schemas.microsoft.com/office/2007/relationships/slicer" Target="../slicers/slicer1.xml"/><Relationship Id="rId8" Type="http://schemas.openxmlformats.org/officeDocument/2006/relationships/pivotTable" Target="../pivotTables/pivotTable8.xml"/><Relationship Id="rId3" Type="http://schemas.openxmlformats.org/officeDocument/2006/relationships/pivotTable" Target="../pivotTables/pivotTable3.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33" Type="http://schemas.openxmlformats.org/officeDocument/2006/relationships/pivotTable" Target="../pivotTables/pivotTable33.xml"/><Relationship Id="rId38" Type="http://schemas.openxmlformats.org/officeDocument/2006/relationships/pivotTable" Target="../pivotTables/pivotTable38.xml"/><Relationship Id="rId46" Type="http://schemas.openxmlformats.org/officeDocument/2006/relationships/pivotTable" Target="../pivotTables/pivotTable46.xml"/><Relationship Id="rId20" Type="http://schemas.openxmlformats.org/officeDocument/2006/relationships/pivotTable" Target="../pivotTables/pivotTable20.xml"/><Relationship Id="rId41" Type="http://schemas.openxmlformats.org/officeDocument/2006/relationships/pivotTable" Target="../pivotTables/pivotTable41.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E4A4B-6E2A-46DE-8272-15B428CC6BBD}">
  <dimension ref="A1:V101"/>
  <sheetViews>
    <sheetView workbookViewId="0">
      <selection activeCell="H15" sqref="H15"/>
    </sheetView>
  </sheetViews>
  <sheetFormatPr defaultRowHeight="15" customHeight="1" x14ac:dyDescent="0.3"/>
  <cols>
    <col min="1" max="1" width="14.44140625" customWidth="1"/>
    <col min="2" max="2" width="12.6640625" bestFit="1" customWidth="1"/>
    <col min="3" max="3" width="13.6640625" bestFit="1" customWidth="1"/>
    <col min="4" max="4" width="26.33203125" bestFit="1" customWidth="1"/>
    <col min="5" max="5" width="14.5546875" customWidth="1"/>
    <col min="6" max="6" width="12.88671875" customWidth="1"/>
    <col min="7" max="7" width="19.5546875" customWidth="1"/>
    <col min="8" max="8" width="12.5546875" customWidth="1"/>
    <col min="9" max="9" width="19.5546875" customWidth="1"/>
    <col min="10" max="11" width="16.33203125" customWidth="1"/>
    <col min="12" max="12" width="12" customWidth="1"/>
    <col min="13" max="13" width="15.109375" customWidth="1"/>
    <col min="14" max="14" width="23.5546875" bestFit="1" customWidth="1"/>
    <col min="15" max="15" width="25.109375" customWidth="1"/>
    <col min="16" max="17" width="24.44140625" customWidth="1"/>
    <col min="18" max="18" width="14.5546875" customWidth="1"/>
    <col min="19" max="19" width="14.109375" customWidth="1"/>
    <col min="22" max="22" width="12.88671875" customWidth="1"/>
  </cols>
  <sheetData>
    <row r="1" spans="1:22" ht="18" x14ac:dyDescent="0.3">
      <c r="A1" s="13" t="s">
        <v>0</v>
      </c>
      <c r="B1" s="13" t="s">
        <v>1</v>
      </c>
      <c r="C1" s="13" t="s">
        <v>2</v>
      </c>
      <c r="D1" s="13" t="s">
        <v>3</v>
      </c>
      <c r="E1" s="13" t="s">
        <v>4</v>
      </c>
      <c r="F1" s="13" t="s">
        <v>5</v>
      </c>
      <c r="G1" s="13" t="s">
        <v>6</v>
      </c>
      <c r="H1" s="13" t="s">
        <v>7</v>
      </c>
      <c r="I1" s="13" t="s">
        <v>8</v>
      </c>
      <c r="J1" s="13" t="s">
        <v>9</v>
      </c>
      <c r="K1" s="13" t="s">
        <v>10</v>
      </c>
      <c r="L1" s="13" t="s">
        <v>11</v>
      </c>
      <c r="M1" s="13" t="s">
        <v>12</v>
      </c>
      <c r="N1" s="13" t="s">
        <v>13</v>
      </c>
      <c r="O1" s="13" t="s">
        <v>14</v>
      </c>
      <c r="P1" s="13" t="s">
        <v>15</v>
      </c>
      <c r="Q1" s="13" t="s">
        <v>16</v>
      </c>
      <c r="R1" s="13" t="s">
        <v>17</v>
      </c>
      <c r="S1" s="13" t="s">
        <v>18</v>
      </c>
    </row>
    <row r="2" spans="1:22" ht="15.6" x14ac:dyDescent="0.3">
      <c r="A2" s="1">
        <v>44927</v>
      </c>
      <c r="B2" s="2" t="s">
        <v>19</v>
      </c>
      <c r="C2" s="2" t="s">
        <v>20</v>
      </c>
      <c r="D2" s="2" t="s">
        <v>21</v>
      </c>
      <c r="E2" s="2" t="s">
        <v>22</v>
      </c>
      <c r="F2" s="2">
        <v>2410.89</v>
      </c>
      <c r="G2" s="2">
        <v>4106</v>
      </c>
      <c r="H2" s="2">
        <v>793</v>
      </c>
      <c r="I2" s="2">
        <v>22</v>
      </c>
      <c r="J2" s="2">
        <v>15214.74</v>
      </c>
      <c r="K2" s="2">
        <v>0.19309999999999999</v>
      </c>
      <c r="L2" s="2">
        <v>3.04</v>
      </c>
      <c r="M2" s="2">
        <v>5.3108000000000004</v>
      </c>
      <c r="N2" s="3">
        <f t="shared" ref="N2:N33" si="0">I2/H2</f>
        <v>2.7742749054224466E-2</v>
      </c>
      <c r="O2" s="19">
        <f>Table1[[#This Row],[Conversions-]]/Table1[[#This Row],[Clicks-]]*100</f>
        <v>2.7742749054224465</v>
      </c>
      <c r="P2" s="21">
        <f>SUM(Table1[Revenue-])/SUM(Table1[Spent])</f>
        <v>3.9916314247564531</v>
      </c>
      <c r="Q2" s="54">
        <f>Table1[[#This Row],[Revenue-]]-Table1[[#This Row],[Spent]]</f>
        <v>12803.85</v>
      </c>
      <c r="R2" t="str">
        <f t="shared" ref="R2:R33" si="1">TEXT(A2,"mmm")</f>
        <v>Jan</v>
      </c>
      <c r="S2" t="str">
        <f t="shared" ref="S2:S33" si="2">TEXT(A2,"YYYY")</f>
        <v>2023</v>
      </c>
      <c r="V2">
        <f>Table1[[#This Row],[Revenue-]]/Table1[[#This Row],[Spent]]</f>
        <v>6.3108395654716727</v>
      </c>
    </row>
    <row r="3" spans="1:22" ht="15.6" x14ac:dyDescent="0.3">
      <c r="A3" s="4">
        <v>44934</v>
      </c>
      <c r="B3" s="5" t="s">
        <v>23</v>
      </c>
      <c r="C3" s="5" t="s">
        <v>20</v>
      </c>
      <c r="D3" s="5" t="s">
        <v>24</v>
      </c>
      <c r="E3" s="5" t="s">
        <v>22</v>
      </c>
      <c r="F3" s="5">
        <v>798.87</v>
      </c>
      <c r="G3" s="5">
        <v>8338</v>
      </c>
      <c r="H3" s="5">
        <v>296</v>
      </c>
      <c r="I3" s="5">
        <v>21</v>
      </c>
      <c r="J3" s="5">
        <v>7830.21</v>
      </c>
      <c r="K3" s="5">
        <v>3.5499999999999997E-2</v>
      </c>
      <c r="L3" s="5">
        <v>2.7</v>
      </c>
      <c r="M3" s="5">
        <v>8.8016000000000005</v>
      </c>
      <c r="N3" s="3">
        <f t="shared" si="0"/>
        <v>7.0945945945945943E-2</v>
      </c>
      <c r="O3" s="5">
        <f>Table1[[#This Row],[Conversions-]]/Table1[[#This Row],[Clicks-]]*100</f>
        <v>7.0945945945945947</v>
      </c>
      <c r="P3" s="22">
        <f>SUM(Table1[Revenue-])/SUM(Table1[Spent])</f>
        <v>3.9916314247564531</v>
      </c>
      <c r="Q3" s="54">
        <f>Table1[[#This Row],[Revenue-]]-Table1[[#This Row],[Spent]]</f>
        <v>7031.34</v>
      </c>
      <c r="R3" s="24" t="str">
        <f t="shared" si="1"/>
        <v>Jan</v>
      </c>
      <c r="S3" s="24" t="str">
        <f t="shared" si="2"/>
        <v>2023</v>
      </c>
      <c r="V3">
        <f>Table1[[#This Row],[Revenue-]]/Table1[[#This Row],[Spent]]</f>
        <v>9.8016072702692547</v>
      </c>
    </row>
    <row r="4" spans="1:22" ht="15.6" x14ac:dyDescent="0.3">
      <c r="A4" s="1">
        <v>44941</v>
      </c>
      <c r="B4" s="2" t="s">
        <v>19</v>
      </c>
      <c r="C4" s="2" t="s">
        <v>25</v>
      </c>
      <c r="D4" s="2" t="s">
        <v>24</v>
      </c>
      <c r="E4" s="2" t="s">
        <v>26</v>
      </c>
      <c r="F4" s="2">
        <v>3711.28</v>
      </c>
      <c r="G4" s="2">
        <v>1309</v>
      </c>
      <c r="H4" s="2">
        <v>202</v>
      </c>
      <c r="I4" s="2">
        <v>24</v>
      </c>
      <c r="J4" s="2">
        <v>16070.27</v>
      </c>
      <c r="K4" s="2">
        <v>0.15429999999999999</v>
      </c>
      <c r="L4" s="2">
        <v>18.37</v>
      </c>
      <c r="M4" s="2">
        <v>3.3300999999999998</v>
      </c>
      <c r="N4" s="3">
        <f t="shared" si="0"/>
        <v>0.11881188118811881</v>
      </c>
      <c r="O4" s="5">
        <f>Table1[[#This Row],[Conversions-]]/Table1[[#This Row],[Clicks-]]*100</f>
        <v>11.881188118811881</v>
      </c>
      <c r="P4" s="22">
        <f>SUM(Table1[Revenue-])/SUM(Table1[Spent])</f>
        <v>3.9916314247564531</v>
      </c>
      <c r="Q4" s="54">
        <f>Table1[[#This Row],[Revenue-]]-Table1[[#This Row],[Spent]]</f>
        <v>12358.99</v>
      </c>
      <c r="R4" s="24" t="str">
        <f t="shared" si="1"/>
        <v>Jan</v>
      </c>
      <c r="S4" s="24" t="str">
        <f t="shared" si="2"/>
        <v>2023</v>
      </c>
    </row>
    <row r="5" spans="1:22" ht="15.6" x14ac:dyDescent="0.3">
      <c r="A5" s="4">
        <v>44948</v>
      </c>
      <c r="B5" s="5" t="s">
        <v>19</v>
      </c>
      <c r="C5" s="5" t="s">
        <v>27</v>
      </c>
      <c r="D5" s="5" t="s">
        <v>28</v>
      </c>
      <c r="E5" s="5" t="s">
        <v>29</v>
      </c>
      <c r="F5" s="5">
        <v>936.03</v>
      </c>
      <c r="G5" s="5">
        <v>2055</v>
      </c>
      <c r="H5" s="5">
        <v>377</v>
      </c>
      <c r="I5" s="5">
        <v>36</v>
      </c>
      <c r="J5" s="5">
        <v>5877.33</v>
      </c>
      <c r="K5" s="5">
        <v>0.1835</v>
      </c>
      <c r="L5" s="5">
        <v>2.48</v>
      </c>
      <c r="M5" s="5">
        <v>5.2789999999999999</v>
      </c>
      <c r="N5" s="3">
        <f t="shared" si="0"/>
        <v>9.5490716180371346E-2</v>
      </c>
      <c r="O5" s="5">
        <f>Table1[[#This Row],[Conversions-]]/Table1[[#This Row],[Clicks-]]*100</f>
        <v>9.549071618037134</v>
      </c>
      <c r="P5" s="22">
        <f>SUM(Table1[Revenue-])/SUM(Table1[Spent])</f>
        <v>3.9916314247564531</v>
      </c>
      <c r="Q5" s="54">
        <f>Table1[[#This Row],[Revenue-]]-Table1[[#This Row],[Spent]]</f>
        <v>4941.3</v>
      </c>
      <c r="R5" s="24" t="str">
        <f t="shared" si="1"/>
        <v>Jan</v>
      </c>
      <c r="S5" s="24" t="str">
        <f t="shared" si="2"/>
        <v>2023</v>
      </c>
      <c r="V5" t="s">
        <v>30</v>
      </c>
    </row>
    <row r="6" spans="1:22" ht="15.6" x14ac:dyDescent="0.3">
      <c r="A6" s="1">
        <v>44955</v>
      </c>
      <c r="B6" s="2" t="s">
        <v>31</v>
      </c>
      <c r="C6" s="2" t="s">
        <v>32</v>
      </c>
      <c r="D6" s="2" t="s">
        <v>24</v>
      </c>
      <c r="E6" s="2" t="s">
        <v>22</v>
      </c>
      <c r="F6" s="2">
        <v>3314.53</v>
      </c>
      <c r="G6" s="2">
        <v>9831</v>
      </c>
      <c r="H6" s="2">
        <v>960</v>
      </c>
      <c r="I6" s="2">
        <v>23</v>
      </c>
      <c r="J6" s="2">
        <v>12804.25</v>
      </c>
      <c r="K6" s="2">
        <v>9.7699999999999995E-2</v>
      </c>
      <c r="L6" s="2">
        <v>3.45</v>
      </c>
      <c r="M6" s="2">
        <v>2.8631000000000002</v>
      </c>
      <c r="N6" s="3">
        <f t="shared" si="0"/>
        <v>2.3958333333333335E-2</v>
      </c>
      <c r="O6" s="5">
        <f>Table1[[#This Row],[Conversions-]]/Table1[[#This Row],[Clicks-]]*100</f>
        <v>2.3958333333333335</v>
      </c>
      <c r="P6" s="22">
        <f>SUM(Table1[Revenue-])/SUM(Table1[Spent])</f>
        <v>3.9916314247564531</v>
      </c>
      <c r="Q6" s="54">
        <f>Table1[[#This Row],[Revenue-]]-Table1[[#This Row],[Spent]]</f>
        <v>9489.7199999999993</v>
      </c>
      <c r="R6" s="24" t="str">
        <f t="shared" si="1"/>
        <v>Jan</v>
      </c>
      <c r="S6" s="24" t="str">
        <f t="shared" si="2"/>
        <v>2023</v>
      </c>
      <c r="V6" t="s">
        <v>21</v>
      </c>
    </row>
    <row r="7" spans="1:22" ht="15.6" x14ac:dyDescent="0.3">
      <c r="A7" s="4">
        <v>44962</v>
      </c>
      <c r="B7" s="5" t="s">
        <v>23</v>
      </c>
      <c r="C7" s="5" t="s">
        <v>25</v>
      </c>
      <c r="D7" s="5" t="s">
        <v>24</v>
      </c>
      <c r="E7" s="5" t="s">
        <v>22</v>
      </c>
      <c r="F7" s="5">
        <v>2157.1799999999998</v>
      </c>
      <c r="G7" s="5">
        <v>3158</v>
      </c>
      <c r="H7" s="5">
        <v>565</v>
      </c>
      <c r="I7" s="5">
        <v>6</v>
      </c>
      <c r="J7" s="5">
        <v>12393.81</v>
      </c>
      <c r="K7" s="5">
        <v>0.1789</v>
      </c>
      <c r="L7" s="5">
        <v>3.82</v>
      </c>
      <c r="M7" s="5">
        <v>4.7454000000000001</v>
      </c>
      <c r="N7" s="3">
        <f t="shared" si="0"/>
        <v>1.0619469026548672E-2</v>
      </c>
      <c r="O7" s="5">
        <f>Table1[[#This Row],[Conversions-]]/Table1[[#This Row],[Clicks-]]*100</f>
        <v>1.0619469026548671</v>
      </c>
      <c r="P7" s="22">
        <f>SUM(Table1[Revenue-])/SUM(Table1[Spent])</f>
        <v>3.9916314247564531</v>
      </c>
      <c r="Q7" s="54">
        <f>Table1[[#This Row],[Revenue-]]-Table1[[#This Row],[Spent]]</f>
        <v>10236.629999999999</v>
      </c>
      <c r="R7" s="24" t="str">
        <f t="shared" si="1"/>
        <v>Feb</v>
      </c>
      <c r="S7" s="24" t="str">
        <f t="shared" si="2"/>
        <v>2023</v>
      </c>
      <c r="V7" t="s">
        <v>24</v>
      </c>
    </row>
    <row r="8" spans="1:22" ht="15.6" x14ac:dyDescent="0.3">
      <c r="A8" s="1">
        <v>44969</v>
      </c>
      <c r="B8" s="2" t="s">
        <v>23</v>
      </c>
      <c r="C8" s="2" t="s">
        <v>27</v>
      </c>
      <c r="D8" s="2" t="s">
        <v>21</v>
      </c>
      <c r="E8" s="2" t="s">
        <v>29</v>
      </c>
      <c r="F8" s="2">
        <v>4532.3500000000004</v>
      </c>
      <c r="G8" s="2">
        <v>9961</v>
      </c>
      <c r="H8" s="2">
        <v>452</v>
      </c>
      <c r="I8" s="2">
        <v>4</v>
      </c>
      <c r="J8" s="2">
        <v>1008.27</v>
      </c>
      <c r="K8" s="2">
        <v>4.5400000000000003E-2</v>
      </c>
      <c r="L8" s="2">
        <v>10.029999999999999</v>
      </c>
      <c r="M8" s="2">
        <v>-0.77749999999999997</v>
      </c>
      <c r="N8" s="3">
        <f t="shared" si="0"/>
        <v>8.8495575221238937E-3</v>
      </c>
      <c r="O8" s="5">
        <f>Table1[[#This Row],[Conversions-]]/Table1[[#This Row],[Clicks-]]*100</f>
        <v>0.88495575221238942</v>
      </c>
      <c r="P8" s="22">
        <f>SUM(Table1[Revenue-])/SUM(Table1[Spent])</f>
        <v>3.9916314247564531</v>
      </c>
      <c r="Q8" s="54">
        <f>Table1[[#This Row],[Revenue-]]-Table1[[#This Row],[Spent]]</f>
        <v>-3524.0800000000004</v>
      </c>
      <c r="R8" s="24" t="str">
        <f t="shared" si="1"/>
        <v>Feb</v>
      </c>
      <c r="S8" s="24" t="str">
        <f t="shared" si="2"/>
        <v>2023</v>
      </c>
      <c r="V8" t="s">
        <v>28</v>
      </c>
    </row>
    <row r="9" spans="1:22" ht="15.6" x14ac:dyDescent="0.3">
      <c r="A9" s="4">
        <v>44976</v>
      </c>
      <c r="B9" s="5" t="s">
        <v>23</v>
      </c>
      <c r="C9" s="5" t="s">
        <v>27</v>
      </c>
      <c r="D9" s="5" t="s">
        <v>28</v>
      </c>
      <c r="E9" s="5" t="s">
        <v>33</v>
      </c>
      <c r="F9" s="5">
        <v>2474.37</v>
      </c>
      <c r="G9" s="5">
        <v>1576</v>
      </c>
      <c r="H9" s="5">
        <v>157</v>
      </c>
      <c r="I9" s="5">
        <v>21</v>
      </c>
      <c r="J9" s="5">
        <v>17798.03</v>
      </c>
      <c r="K9" s="5">
        <v>9.9599999999999994E-2</v>
      </c>
      <c r="L9" s="5">
        <v>15.76</v>
      </c>
      <c r="M9" s="5">
        <v>6.1929999999999996</v>
      </c>
      <c r="N9" s="3">
        <f t="shared" si="0"/>
        <v>0.13375796178343949</v>
      </c>
      <c r="O9" s="5">
        <f>Table1[[#This Row],[Conversions-]]/Table1[[#This Row],[Clicks-]]*100</f>
        <v>13.375796178343949</v>
      </c>
      <c r="P9" s="22">
        <f>SUM(Table1[Revenue-])/SUM(Table1[Spent])</f>
        <v>3.9916314247564531</v>
      </c>
      <c r="Q9" s="54">
        <f>Table1[[#This Row],[Revenue-]]-Table1[[#This Row],[Spent]]</f>
        <v>15323.66</v>
      </c>
      <c r="R9" s="24" t="str">
        <f t="shared" si="1"/>
        <v>Feb</v>
      </c>
      <c r="S9" s="24" t="str">
        <f t="shared" si="2"/>
        <v>2023</v>
      </c>
    </row>
    <row r="10" spans="1:22" ht="15.6" x14ac:dyDescent="0.3">
      <c r="A10" s="1">
        <v>44983</v>
      </c>
      <c r="B10" s="2" t="s">
        <v>23</v>
      </c>
      <c r="C10" s="2" t="s">
        <v>25</v>
      </c>
      <c r="D10" s="2" t="s">
        <v>21</v>
      </c>
      <c r="E10" s="2" t="s">
        <v>29</v>
      </c>
      <c r="F10" s="2">
        <v>2062.96</v>
      </c>
      <c r="G10" s="2">
        <v>5067</v>
      </c>
      <c r="H10" s="2">
        <v>800</v>
      </c>
      <c r="I10" s="2">
        <v>7</v>
      </c>
      <c r="J10" s="2">
        <v>16555.2</v>
      </c>
      <c r="K10" s="2">
        <v>0.15790000000000001</v>
      </c>
      <c r="L10" s="2">
        <v>2.58</v>
      </c>
      <c r="M10" s="2">
        <v>7.0250000000000004</v>
      </c>
      <c r="N10" s="3">
        <f t="shared" si="0"/>
        <v>8.7500000000000008E-3</v>
      </c>
      <c r="O10" s="5">
        <f>Table1[[#This Row],[Conversions-]]/Table1[[#This Row],[Clicks-]]*100</f>
        <v>0.87500000000000011</v>
      </c>
      <c r="P10" s="22">
        <f>SUM(Table1[Revenue-])/SUM(Table1[Spent])</f>
        <v>3.9916314247564531</v>
      </c>
      <c r="Q10" s="54">
        <f>Table1[[#This Row],[Revenue-]]-Table1[[#This Row],[Spent]]</f>
        <v>14492.240000000002</v>
      </c>
      <c r="R10" s="24" t="str">
        <f t="shared" si="1"/>
        <v>Feb</v>
      </c>
      <c r="S10" s="24" t="str">
        <f t="shared" si="2"/>
        <v>2023</v>
      </c>
    </row>
    <row r="11" spans="1:22" ht="15.6" x14ac:dyDescent="0.3">
      <c r="A11" s="4">
        <v>44990</v>
      </c>
      <c r="B11" s="5" t="s">
        <v>34</v>
      </c>
      <c r="C11" s="5" t="s">
        <v>32</v>
      </c>
      <c r="D11" s="5" t="s">
        <v>21</v>
      </c>
      <c r="E11" s="5" t="s">
        <v>33</v>
      </c>
      <c r="F11" s="5">
        <v>2981.54</v>
      </c>
      <c r="G11" s="5">
        <v>4023</v>
      </c>
      <c r="H11" s="5">
        <v>926</v>
      </c>
      <c r="I11" s="5">
        <v>18</v>
      </c>
      <c r="J11" s="5">
        <v>18196.919999999998</v>
      </c>
      <c r="K11" s="5">
        <v>0.23019999999999999</v>
      </c>
      <c r="L11" s="5">
        <v>3.22</v>
      </c>
      <c r="M11" s="5">
        <v>5.1032000000000002</v>
      </c>
      <c r="N11" s="3">
        <f t="shared" si="0"/>
        <v>1.9438444924406047E-2</v>
      </c>
      <c r="O11" s="5">
        <f>Table1[[#This Row],[Conversions-]]/Table1[[#This Row],[Clicks-]]*100</f>
        <v>1.9438444924406046</v>
      </c>
      <c r="P11" s="22">
        <f>SUM(Table1[Revenue-])/SUM(Table1[Spent])</f>
        <v>3.9916314247564531</v>
      </c>
      <c r="Q11" s="54">
        <f>Table1[[#This Row],[Revenue-]]-Table1[[#This Row],[Spent]]</f>
        <v>15215.379999999997</v>
      </c>
      <c r="R11" s="24" t="str">
        <f t="shared" si="1"/>
        <v>Mar</v>
      </c>
      <c r="S11" s="24" t="str">
        <f t="shared" si="2"/>
        <v>2023</v>
      </c>
    </row>
    <row r="12" spans="1:22" ht="15.6" x14ac:dyDescent="0.3">
      <c r="A12" s="1">
        <v>44997</v>
      </c>
      <c r="B12" s="2" t="s">
        <v>34</v>
      </c>
      <c r="C12" s="2" t="s">
        <v>20</v>
      </c>
      <c r="D12" s="2" t="s">
        <v>28</v>
      </c>
      <c r="E12" s="2" t="s">
        <v>26</v>
      </c>
      <c r="F12" s="2">
        <v>4756.3999999999996</v>
      </c>
      <c r="G12" s="2">
        <v>3459</v>
      </c>
      <c r="H12" s="2">
        <v>469</v>
      </c>
      <c r="I12" s="2">
        <v>46</v>
      </c>
      <c r="J12" s="2">
        <v>14724.5</v>
      </c>
      <c r="K12" s="2">
        <v>0.1356</v>
      </c>
      <c r="L12" s="2">
        <v>10.14</v>
      </c>
      <c r="M12" s="2">
        <v>2.0956999999999999</v>
      </c>
      <c r="N12" s="3">
        <f t="shared" si="0"/>
        <v>9.8081023454157784E-2</v>
      </c>
      <c r="O12" s="5">
        <f>Table1[[#This Row],[Conversions-]]/Table1[[#This Row],[Clicks-]]*100</f>
        <v>9.8081023454157776</v>
      </c>
      <c r="P12" s="22">
        <f>SUM(Table1[Revenue-])/SUM(Table1[Spent])</f>
        <v>3.9916314247564531</v>
      </c>
      <c r="Q12" s="54">
        <f>Table1[[#This Row],[Revenue-]]-Table1[[#This Row],[Spent]]</f>
        <v>9968.1</v>
      </c>
      <c r="R12" s="24" t="str">
        <f t="shared" si="1"/>
        <v>Mar</v>
      </c>
      <c r="S12" s="24" t="str">
        <f t="shared" si="2"/>
        <v>2023</v>
      </c>
    </row>
    <row r="13" spans="1:22" ht="15.6" x14ac:dyDescent="0.3">
      <c r="A13" s="4">
        <v>45004</v>
      </c>
      <c r="B13" s="5" t="s">
        <v>23</v>
      </c>
      <c r="C13" s="5" t="s">
        <v>32</v>
      </c>
      <c r="D13" s="5" t="s">
        <v>21</v>
      </c>
      <c r="E13" s="5" t="s">
        <v>33</v>
      </c>
      <c r="F13" s="5">
        <v>1176.82</v>
      </c>
      <c r="G13" s="5">
        <v>3294</v>
      </c>
      <c r="H13" s="5">
        <v>342</v>
      </c>
      <c r="I13" s="5">
        <v>11</v>
      </c>
      <c r="J13" s="5">
        <v>9216.3799999999992</v>
      </c>
      <c r="K13" s="5">
        <v>0.1038</v>
      </c>
      <c r="L13" s="5">
        <v>3.44</v>
      </c>
      <c r="M13" s="5">
        <v>6.8315999999999999</v>
      </c>
      <c r="N13" s="3">
        <f t="shared" si="0"/>
        <v>3.2163742690058478E-2</v>
      </c>
      <c r="O13" s="5">
        <f>Table1[[#This Row],[Conversions-]]/Table1[[#This Row],[Clicks-]]*100</f>
        <v>3.2163742690058479</v>
      </c>
      <c r="P13" s="22">
        <f>SUM(Table1[Revenue-])/SUM(Table1[Spent])</f>
        <v>3.9916314247564531</v>
      </c>
      <c r="Q13" s="54">
        <f>Table1[[#This Row],[Revenue-]]-Table1[[#This Row],[Spent]]</f>
        <v>8039.5599999999995</v>
      </c>
      <c r="R13" s="24" t="str">
        <f t="shared" si="1"/>
        <v>Mar</v>
      </c>
      <c r="S13" s="24" t="str">
        <f t="shared" si="2"/>
        <v>2023</v>
      </c>
    </row>
    <row r="14" spans="1:22" ht="15.6" x14ac:dyDescent="0.3">
      <c r="A14" s="1">
        <v>45011</v>
      </c>
      <c r="B14" s="2" t="s">
        <v>19</v>
      </c>
      <c r="C14" s="2" t="s">
        <v>27</v>
      </c>
      <c r="D14" s="2" t="s">
        <v>24</v>
      </c>
      <c r="E14" s="2" t="s">
        <v>29</v>
      </c>
      <c r="F14" s="2">
        <v>658.38</v>
      </c>
      <c r="G14" s="2">
        <v>3488</v>
      </c>
      <c r="H14" s="2">
        <v>663</v>
      </c>
      <c r="I14" s="2">
        <v>21</v>
      </c>
      <c r="J14" s="2">
        <v>11489.96</v>
      </c>
      <c r="K14" s="2">
        <v>0.19009999999999999</v>
      </c>
      <c r="L14" s="2">
        <v>0.99</v>
      </c>
      <c r="M14" s="2">
        <v>16.451899999999998</v>
      </c>
      <c r="N14" s="3">
        <f t="shared" si="0"/>
        <v>3.1674208144796379E-2</v>
      </c>
      <c r="O14" s="5">
        <f>Table1[[#This Row],[Conversions-]]/Table1[[#This Row],[Clicks-]]*100</f>
        <v>3.1674208144796379</v>
      </c>
      <c r="P14" s="22">
        <f>SUM(Table1[Revenue-])/SUM(Table1[Spent])</f>
        <v>3.9916314247564531</v>
      </c>
      <c r="Q14" s="54">
        <f>Table1[[#This Row],[Revenue-]]-Table1[[#This Row],[Spent]]</f>
        <v>10831.58</v>
      </c>
      <c r="R14" s="24" t="str">
        <f t="shared" si="1"/>
        <v>Mar</v>
      </c>
      <c r="S14" s="24" t="str">
        <f t="shared" si="2"/>
        <v>2023</v>
      </c>
    </row>
    <row r="15" spans="1:22" ht="15.6" x14ac:dyDescent="0.3">
      <c r="A15" s="4">
        <v>45018</v>
      </c>
      <c r="B15" s="5" t="s">
        <v>19</v>
      </c>
      <c r="C15" s="5" t="s">
        <v>25</v>
      </c>
      <c r="D15" s="5" t="s">
        <v>24</v>
      </c>
      <c r="E15" s="5" t="s">
        <v>29</v>
      </c>
      <c r="F15" s="5">
        <v>1467.26</v>
      </c>
      <c r="G15" s="5">
        <v>5269</v>
      </c>
      <c r="H15" s="5">
        <v>120</v>
      </c>
      <c r="I15" s="5">
        <v>19</v>
      </c>
      <c r="J15" s="5">
        <v>14600.4</v>
      </c>
      <c r="K15" s="5">
        <v>2.2800000000000001E-2</v>
      </c>
      <c r="L15" s="5">
        <v>12.23</v>
      </c>
      <c r="M15" s="5">
        <v>8.9507999999999992</v>
      </c>
      <c r="N15" s="3">
        <f t="shared" si="0"/>
        <v>0.15833333333333333</v>
      </c>
      <c r="O15" s="5">
        <f>Table1[[#This Row],[Conversions-]]/Table1[[#This Row],[Clicks-]]*100</f>
        <v>15.833333333333332</v>
      </c>
      <c r="P15" s="22">
        <f>SUM(Table1[Revenue-])/SUM(Table1[Spent])</f>
        <v>3.9916314247564531</v>
      </c>
      <c r="Q15" s="54">
        <f>Table1[[#This Row],[Revenue-]]-Table1[[#This Row],[Spent]]</f>
        <v>13133.14</v>
      </c>
      <c r="R15" s="24" t="str">
        <f t="shared" si="1"/>
        <v>Apr</v>
      </c>
      <c r="S15" s="24" t="str">
        <f t="shared" si="2"/>
        <v>2023</v>
      </c>
    </row>
    <row r="16" spans="1:22" ht="15.6" x14ac:dyDescent="0.3">
      <c r="A16" s="1">
        <v>45025</v>
      </c>
      <c r="B16" s="2" t="s">
        <v>34</v>
      </c>
      <c r="C16" s="2" t="s">
        <v>25</v>
      </c>
      <c r="D16" s="2" t="s">
        <v>28</v>
      </c>
      <c r="E16" s="2" t="s">
        <v>33</v>
      </c>
      <c r="F16" s="2">
        <v>1961.58</v>
      </c>
      <c r="G16" s="2">
        <v>3155</v>
      </c>
      <c r="H16" s="2">
        <v>319</v>
      </c>
      <c r="I16" s="2">
        <v>12</v>
      </c>
      <c r="J16" s="2">
        <v>1122.8599999999999</v>
      </c>
      <c r="K16" s="2">
        <v>0.1011</v>
      </c>
      <c r="L16" s="2">
        <v>6.15</v>
      </c>
      <c r="M16" s="2">
        <v>-0.42759999999999998</v>
      </c>
      <c r="N16" s="3">
        <f t="shared" si="0"/>
        <v>3.7617554858934171E-2</v>
      </c>
      <c r="O16" s="5">
        <f>Table1[[#This Row],[Conversions-]]/Table1[[#This Row],[Clicks-]]*100</f>
        <v>3.761755485893417</v>
      </c>
      <c r="P16" s="22">
        <f>SUM(Table1[Revenue-])/SUM(Table1[Spent])</f>
        <v>3.9916314247564531</v>
      </c>
      <c r="Q16" s="54">
        <f>Table1[[#This Row],[Revenue-]]-Table1[[#This Row],[Spent]]</f>
        <v>-838.72</v>
      </c>
      <c r="R16" s="24" t="str">
        <f t="shared" si="1"/>
        <v>Apr</v>
      </c>
      <c r="S16" s="24" t="str">
        <f t="shared" si="2"/>
        <v>2023</v>
      </c>
    </row>
    <row r="17" spans="1:19" ht="15.6" x14ac:dyDescent="0.3">
      <c r="A17" s="4">
        <v>45032</v>
      </c>
      <c r="B17" s="5" t="s">
        <v>23</v>
      </c>
      <c r="C17" s="5" t="s">
        <v>20</v>
      </c>
      <c r="D17" s="5" t="s">
        <v>30</v>
      </c>
      <c r="E17" s="5" t="s">
        <v>33</v>
      </c>
      <c r="F17" s="5">
        <v>2191.96</v>
      </c>
      <c r="G17" s="5">
        <v>9477</v>
      </c>
      <c r="H17" s="5">
        <v>898</v>
      </c>
      <c r="I17" s="5">
        <v>42</v>
      </c>
      <c r="J17" s="5">
        <v>18187.47</v>
      </c>
      <c r="K17" s="5">
        <v>9.4799999999999995E-2</v>
      </c>
      <c r="L17" s="5">
        <v>2.44</v>
      </c>
      <c r="M17" s="5">
        <v>7.2973999999999997</v>
      </c>
      <c r="N17" s="3">
        <f t="shared" si="0"/>
        <v>4.6770601336302897E-2</v>
      </c>
      <c r="O17" s="5">
        <f>Table1[[#This Row],[Conversions-]]/Table1[[#This Row],[Clicks-]]*100</f>
        <v>4.6770601336302899</v>
      </c>
      <c r="P17" s="22">
        <f>SUM(Table1[Revenue-])/SUM(Table1[Spent])</f>
        <v>3.9916314247564531</v>
      </c>
      <c r="Q17" s="54">
        <f>Table1[[#This Row],[Revenue-]]-Table1[[#This Row],[Spent]]</f>
        <v>15995.510000000002</v>
      </c>
      <c r="R17" s="24" t="str">
        <f t="shared" si="1"/>
        <v>Apr</v>
      </c>
      <c r="S17" s="24" t="str">
        <f t="shared" si="2"/>
        <v>2023</v>
      </c>
    </row>
    <row r="18" spans="1:19" ht="15.6" x14ac:dyDescent="0.3">
      <c r="A18" s="1">
        <v>45039</v>
      </c>
      <c r="B18" s="2" t="s">
        <v>31</v>
      </c>
      <c r="C18" s="2" t="s">
        <v>20</v>
      </c>
      <c r="D18" s="2" t="s">
        <v>24</v>
      </c>
      <c r="E18" s="2" t="s">
        <v>26</v>
      </c>
      <c r="F18" s="2">
        <v>2426.42</v>
      </c>
      <c r="G18" s="2">
        <v>6635</v>
      </c>
      <c r="H18" s="2">
        <v>822</v>
      </c>
      <c r="I18" s="2">
        <v>14</v>
      </c>
      <c r="J18" s="2">
        <v>12020.84</v>
      </c>
      <c r="K18" s="2">
        <v>0.1239</v>
      </c>
      <c r="L18" s="2">
        <v>2.95</v>
      </c>
      <c r="M18" s="2">
        <v>3.9540999999999999</v>
      </c>
      <c r="N18" s="3">
        <f t="shared" si="0"/>
        <v>1.7031630170316302E-2</v>
      </c>
      <c r="O18" s="5">
        <f>Table1[[#This Row],[Conversions-]]/Table1[[#This Row],[Clicks-]]*100</f>
        <v>1.7031630170316301</v>
      </c>
      <c r="P18" s="22">
        <f>SUM(Table1[Revenue-])/SUM(Table1[Spent])</f>
        <v>3.9916314247564531</v>
      </c>
      <c r="Q18" s="54">
        <f>Table1[[#This Row],[Revenue-]]-Table1[[#This Row],[Spent]]</f>
        <v>9594.42</v>
      </c>
      <c r="R18" s="24" t="str">
        <f t="shared" si="1"/>
        <v>Apr</v>
      </c>
      <c r="S18" s="24" t="str">
        <f t="shared" si="2"/>
        <v>2023</v>
      </c>
    </row>
    <row r="19" spans="1:19" ht="15.6" x14ac:dyDescent="0.3">
      <c r="A19" s="4">
        <v>45046</v>
      </c>
      <c r="B19" s="5" t="s">
        <v>34</v>
      </c>
      <c r="C19" s="5" t="s">
        <v>27</v>
      </c>
      <c r="D19" s="5" t="s">
        <v>24</v>
      </c>
      <c r="E19" s="5" t="s">
        <v>26</v>
      </c>
      <c r="F19" s="5">
        <v>3372.11</v>
      </c>
      <c r="G19" s="5">
        <v>6859</v>
      </c>
      <c r="H19" s="5">
        <v>702</v>
      </c>
      <c r="I19" s="5">
        <v>29</v>
      </c>
      <c r="J19" s="5">
        <v>8958.7199999999993</v>
      </c>
      <c r="K19" s="5">
        <v>0.1023</v>
      </c>
      <c r="L19" s="5">
        <v>4.8</v>
      </c>
      <c r="M19" s="5">
        <v>1.6567000000000001</v>
      </c>
      <c r="N19" s="3">
        <f t="shared" si="0"/>
        <v>4.1310541310541307E-2</v>
      </c>
      <c r="O19" s="5">
        <f>Table1[[#This Row],[Conversions-]]/Table1[[#This Row],[Clicks-]]*100</f>
        <v>4.1310541310541309</v>
      </c>
      <c r="P19" s="22">
        <f>SUM(Table1[Revenue-])/SUM(Table1[Spent])</f>
        <v>3.9916314247564531</v>
      </c>
      <c r="Q19" s="54">
        <f>Table1[[#This Row],[Revenue-]]-Table1[[#This Row],[Spent]]</f>
        <v>5586.6099999999988</v>
      </c>
      <c r="R19" s="24" t="str">
        <f t="shared" si="1"/>
        <v>Apr</v>
      </c>
      <c r="S19" s="24" t="str">
        <f t="shared" si="2"/>
        <v>2023</v>
      </c>
    </row>
    <row r="20" spans="1:19" ht="15.6" x14ac:dyDescent="0.3">
      <c r="A20" s="1">
        <v>45053</v>
      </c>
      <c r="B20" s="2" t="s">
        <v>23</v>
      </c>
      <c r="C20" s="2" t="s">
        <v>25</v>
      </c>
      <c r="D20" s="2" t="s">
        <v>30</v>
      </c>
      <c r="E20" s="2" t="s">
        <v>26</v>
      </c>
      <c r="F20" s="2">
        <v>2947.59</v>
      </c>
      <c r="G20" s="2">
        <v>6421</v>
      </c>
      <c r="H20" s="2">
        <v>409</v>
      </c>
      <c r="I20" s="2">
        <v>32</v>
      </c>
      <c r="J20" s="2">
        <v>13245.18</v>
      </c>
      <c r="K20" s="2">
        <v>6.3700000000000007E-2</v>
      </c>
      <c r="L20" s="2">
        <v>7.21</v>
      </c>
      <c r="M20" s="2">
        <v>3.4935999999999998</v>
      </c>
      <c r="N20" s="3">
        <f t="shared" si="0"/>
        <v>7.823960880195599E-2</v>
      </c>
      <c r="O20" s="5">
        <f>Table1[[#This Row],[Conversions-]]/Table1[[#This Row],[Clicks-]]*100</f>
        <v>7.8239608801955987</v>
      </c>
      <c r="P20" s="22">
        <f>SUM(Table1[Revenue-])/SUM(Table1[Spent])</f>
        <v>3.9916314247564531</v>
      </c>
      <c r="Q20" s="54">
        <f>Table1[[#This Row],[Revenue-]]-Table1[[#This Row],[Spent]]</f>
        <v>10297.59</v>
      </c>
      <c r="R20" s="24" t="str">
        <f t="shared" si="1"/>
        <v>May</v>
      </c>
      <c r="S20" s="24" t="str">
        <f t="shared" si="2"/>
        <v>2023</v>
      </c>
    </row>
    <row r="21" spans="1:19" ht="15.6" x14ac:dyDescent="0.3">
      <c r="A21" s="4">
        <v>45060</v>
      </c>
      <c r="B21" s="5" t="s">
        <v>34</v>
      </c>
      <c r="C21" s="5" t="s">
        <v>32</v>
      </c>
      <c r="D21" s="5" t="s">
        <v>24</v>
      </c>
      <c r="E21" s="5" t="s">
        <v>22</v>
      </c>
      <c r="F21" s="5">
        <v>1233.05</v>
      </c>
      <c r="G21" s="5">
        <v>6000</v>
      </c>
      <c r="H21" s="5">
        <v>870</v>
      </c>
      <c r="I21" s="5">
        <v>19</v>
      </c>
      <c r="J21" s="5">
        <v>17779.580000000002</v>
      </c>
      <c r="K21" s="5">
        <v>0.14499999999999999</v>
      </c>
      <c r="L21" s="5">
        <v>1.42</v>
      </c>
      <c r="M21" s="5">
        <v>13.4192</v>
      </c>
      <c r="N21" s="3">
        <f t="shared" si="0"/>
        <v>2.1839080459770115E-2</v>
      </c>
      <c r="O21" s="5">
        <f>Table1[[#This Row],[Conversions-]]/Table1[[#This Row],[Clicks-]]*100</f>
        <v>2.1839080459770113</v>
      </c>
      <c r="P21" s="22">
        <f>SUM(Table1[Revenue-])/SUM(Table1[Spent])</f>
        <v>3.9916314247564531</v>
      </c>
      <c r="Q21" s="54">
        <f>Table1[[#This Row],[Revenue-]]-Table1[[#This Row],[Spent]]</f>
        <v>16546.530000000002</v>
      </c>
      <c r="R21" s="24" t="str">
        <f t="shared" si="1"/>
        <v>May</v>
      </c>
      <c r="S21" s="24" t="str">
        <f t="shared" si="2"/>
        <v>2023</v>
      </c>
    </row>
    <row r="22" spans="1:19" ht="15.6" x14ac:dyDescent="0.3">
      <c r="A22" s="1">
        <v>45067</v>
      </c>
      <c r="B22" s="2" t="s">
        <v>31</v>
      </c>
      <c r="C22" s="2" t="s">
        <v>27</v>
      </c>
      <c r="D22" s="2" t="s">
        <v>28</v>
      </c>
      <c r="E22" s="2" t="s">
        <v>29</v>
      </c>
      <c r="F22" s="2">
        <v>1719.2</v>
      </c>
      <c r="G22" s="2">
        <v>5011</v>
      </c>
      <c r="H22" s="2">
        <v>357</v>
      </c>
      <c r="I22" s="2">
        <v>7</v>
      </c>
      <c r="J22" s="2">
        <v>11587.55</v>
      </c>
      <c r="K22" s="2">
        <v>7.1199999999999999E-2</v>
      </c>
      <c r="L22" s="2">
        <v>4.82</v>
      </c>
      <c r="M22" s="2">
        <v>5.7401</v>
      </c>
      <c r="N22" s="3">
        <f t="shared" si="0"/>
        <v>1.9607843137254902E-2</v>
      </c>
      <c r="O22" s="5">
        <f>Table1[[#This Row],[Conversions-]]/Table1[[#This Row],[Clicks-]]*100</f>
        <v>1.9607843137254901</v>
      </c>
      <c r="P22" s="22">
        <f>SUM(Table1[Revenue-])/SUM(Table1[Spent])</f>
        <v>3.9916314247564531</v>
      </c>
      <c r="Q22" s="54">
        <f>Table1[[#This Row],[Revenue-]]-Table1[[#This Row],[Spent]]</f>
        <v>9868.3499999999985</v>
      </c>
      <c r="R22" s="24" t="str">
        <f t="shared" si="1"/>
        <v>May</v>
      </c>
      <c r="S22" s="24" t="str">
        <f t="shared" si="2"/>
        <v>2023</v>
      </c>
    </row>
    <row r="23" spans="1:19" ht="15.6" x14ac:dyDescent="0.3">
      <c r="A23" s="4">
        <v>45074</v>
      </c>
      <c r="B23" s="5" t="s">
        <v>19</v>
      </c>
      <c r="C23" s="5" t="s">
        <v>32</v>
      </c>
      <c r="D23" s="5" t="s">
        <v>24</v>
      </c>
      <c r="E23" s="5" t="s">
        <v>26</v>
      </c>
      <c r="F23" s="5">
        <v>1358.97</v>
      </c>
      <c r="G23" s="5">
        <v>8342</v>
      </c>
      <c r="H23" s="5">
        <v>147</v>
      </c>
      <c r="I23" s="5">
        <v>37</v>
      </c>
      <c r="J23" s="5">
        <v>3523.57</v>
      </c>
      <c r="K23" s="5">
        <v>1.7600000000000001E-2</v>
      </c>
      <c r="L23" s="5">
        <v>9.24</v>
      </c>
      <c r="M23" s="5">
        <v>1.5928</v>
      </c>
      <c r="N23" s="3">
        <f t="shared" si="0"/>
        <v>0.25170068027210885</v>
      </c>
      <c r="O23" s="5">
        <f>Table1[[#This Row],[Conversions-]]/Table1[[#This Row],[Clicks-]]*100</f>
        <v>25.170068027210885</v>
      </c>
      <c r="P23" s="22">
        <f>SUM(Table1[Revenue-])/SUM(Table1[Spent])</f>
        <v>3.9916314247564531</v>
      </c>
      <c r="Q23" s="54">
        <f>Table1[[#This Row],[Revenue-]]-Table1[[#This Row],[Spent]]</f>
        <v>2164.6000000000004</v>
      </c>
      <c r="R23" s="24" t="str">
        <f t="shared" si="1"/>
        <v>May</v>
      </c>
      <c r="S23" s="24" t="str">
        <f t="shared" si="2"/>
        <v>2023</v>
      </c>
    </row>
    <row r="24" spans="1:19" ht="15.6" x14ac:dyDescent="0.3">
      <c r="A24" s="1">
        <v>45081</v>
      </c>
      <c r="B24" s="2" t="s">
        <v>19</v>
      </c>
      <c r="C24" s="2" t="s">
        <v>25</v>
      </c>
      <c r="D24" s="2" t="s">
        <v>28</v>
      </c>
      <c r="E24" s="2" t="s">
        <v>22</v>
      </c>
      <c r="F24" s="2">
        <v>2519.04</v>
      </c>
      <c r="G24" s="2">
        <v>7619</v>
      </c>
      <c r="H24" s="2">
        <v>420</v>
      </c>
      <c r="I24" s="2">
        <v>23</v>
      </c>
      <c r="J24" s="2">
        <v>9579.4500000000007</v>
      </c>
      <c r="K24" s="2">
        <v>5.5100000000000003E-2</v>
      </c>
      <c r="L24" s="2">
        <v>6</v>
      </c>
      <c r="M24" s="2">
        <v>2.8028</v>
      </c>
      <c r="N24" s="3">
        <f t="shared" si="0"/>
        <v>5.4761904761904762E-2</v>
      </c>
      <c r="O24" s="5">
        <f>Table1[[#This Row],[Conversions-]]/Table1[[#This Row],[Clicks-]]*100</f>
        <v>5.4761904761904763</v>
      </c>
      <c r="P24" s="22">
        <f>SUM(Table1[Revenue-])/SUM(Table1[Spent])</f>
        <v>3.9916314247564531</v>
      </c>
      <c r="Q24" s="54">
        <f>Table1[[#This Row],[Revenue-]]-Table1[[#This Row],[Spent]]</f>
        <v>7060.4100000000008</v>
      </c>
      <c r="R24" s="24" t="str">
        <f t="shared" si="1"/>
        <v>Jun</v>
      </c>
      <c r="S24" s="24" t="str">
        <f t="shared" si="2"/>
        <v>2023</v>
      </c>
    </row>
    <row r="25" spans="1:19" ht="15.6" x14ac:dyDescent="0.3">
      <c r="A25" s="4">
        <v>45088</v>
      </c>
      <c r="B25" s="5" t="s">
        <v>19</v>
      </c>
      <c r="C25" s="5" t="s">
        <v>20</v>
      </c>
      <c r="D25" s="5" t="s">
        <v>24</v>
      </c>
      <c r="E25" s="5" t="s">
        <v>22</v>
      </c>
      <c r="F25" s="5">
        <v>3079.59</v>
      </c>
      <c r="G25" s="5">
        <v>9537</v>
      </c>
      <c r="H25" s="5">
        <v>161</v>
      </c>
      <c r="I25" s="5">
        <v>29</v>
      </c>
      <c r="J25" s="5">
        <v>18035.98</v>
      </c>
      <c r="K25" s="5">
        <v>1.6899999999999998E-2</v>
      </c>
      <c r="L25" s="5">
        <v>19.13</v>
      </c>
      <c r="M25" s="5">
        <v>4.8566000000000003</v>
      </c>
      <c r="N25" s="3">
        <f t="shared" si="0"/>
        <v>0.18012422360248448</v>
      </c>
      <c r="O25" s="5">
        <f>Table1[[#This Row],[Conversions-]]/Table1[[#This Row],[Clicks-]]*100</f>
        <v>18.012422360248447</v>
      </c>
      <c r="P25" s="22">
        <f>SUM(Table1[Revenue-])/SUM(Table1[Spent])</f>
        <v>3.9916314247564531</v>
      </c>
      <c r="Q25" s="54">
        <f>Table1[[#This Row],[Revenue-]]-Table1[[#This Row],[Spent]]</f>
        <v>14956.39</v>
      </c>
      <c r="R25" s="24" t="str">
        <f t="shared" si="1"/>
        <v>Jun</v>
      </c>
      <c r="S25" s="24" t="str">
        <f t="shared" si="2"/>
        <v>2023</v>
      </c>
    </row>
    <row r="26" spans="1:19" ht="15.6" x14ac:dyDescent="0.3">
      <c r="A26" s="1">
        <v>45095</v>
      </c>
      <c r="B26" s="2" t="s">
        <v>31</v>
      </c>
      <c r="C26" s="2" t="s">
        <v>32</v>
      </c>
      <c r="D26" s="2" t="s">
        <v>24</v>
      </c>
      <c r="E26" s="2" t="s">
        <v>29</v>
      </c>
      <c r="F26" s="2">
        <v>2529.77</v>
      </c>
      <c r="G26" s="2">
        <v>5797</v>
      </c>
      <c r="H26" s="2">
        <v>633</v>
      </c>
      <c r="I26" s="2">
        <v>11</v>
      </c>
      <c r="J26" s="2">
        <v>8063.26</v>
      </c>
      <c r="K26" s="2">
        <v>0.10920000000000001</v>
      </c>
      <c r="L26" s="2">
        <v>4</v>
      </c>
      <c r="M26" s="2">
        <v>2.1873</v>
      </c>
      <c r="N26" s="3">
        <f t="shared" si="0"/>
        <v>1.7377567140600316E-2</v>
      </c>
      <c r="O26" s="5">
        <f>Table1[[#This Row],[Conversions-]]/Table1[[#This Row],[Clicks-]]*100</f>
        <v>1.7377567140600316</v>
      </c>
      <c r="P26" s="22">
        <f>SUM(Table1[Revenue-])/SUM(Table1[Spent])</f>
        <v>3.9916314247564531</v>
      </c>
      <c r="Q26" s="54">
        <f>Table1[[#This Row],[Revenue-]]-Table1[[#This Row],[Spent]]</f>
        <v>5533.49</v>
      </c>
      <c r="R26" s="24" t="str">
        <f t="shared" si="1"/>
        <v>Jun</v>
      </c>
      <c r="S26" s="24" t="str">
        <f t="shared" si="2"/>
        <v>2023</v>
      </c>
    </row>
    <row r="27" spans="1:19" ht="15.6" x14ac:dyDescent="0.3">
      <c r="A27" s="4">
        <v>45102</v>
      </c>
      <c r="B27" s="5" t="s">
        <v>19</v>
      </c>
      <c r="C27" s="5" t="s">
        <v>20</v>
      </c>
      <c r="D27" s="5" t="s">
        <v>21</v>
      </c>
      <c r="E27" s="5" t="s">
        <v>26</v>
      </c>
      <c r="F27" s="5">
        <v>3806.24</v>
      </c>
      <c r="G27" s="5">
        <v>4862</v>
      </c>
      <c r="H27" s="5">
        <v>777</v>
      </c>
      <c r="I27" s="5">
        <v>6</v>
      </c>
      <c r="J27" s="5">
        <v>16594.68</v>
      </c>
      <c r="K27" s="5">
        <v>0.1598</v>
      </c>
      <c r="L27" s="5">
        <v>4.9000000000000004</v>
      </c>
      <c r="M27" s="5">
        <v>3.3599000000000001</v>
      </c>
      <c r="N27" s="3">
        <f t="shared" si="0"/>
        <v>7.7220077220077222E-3</v>
      </c>
      <c r="O27" s="5">
        <f>Table1[[#This Row],[Conversions-]]/Table1[[#This Row],[Clicks-]]*100</f>
        <v>0.77220077220077221</v>
      </c>
      <c r="P27" s="22">
        <f>SUM(Table1[Revenue-])/SUM(Table1[Spent])</f>
        <v>3.9916314247564531</v>
      </c>
      <c r="Q27" s="54">
        <f>Table1[[#This Row],[Revenue-]]-Table1[[#This Row],[Spent]]</f>
        <v>12788.44</v>
      </c>
      <c r="R27" s="24" t="str">
        <f t="shared" si="1"/>
        <v>Jun</v>
      </c>
      <c r="S27" s="24" t="str">
        <f t="shared" si="2"/>
        <v>2023</v>
      </c>
    </row>
    <row r="28" spans="1:19" ht="15.6" x14ac:dyDescent="0.3">
      <c r="A28" s="1">
        <v>45109</v>
      </c>
      <c r="B28" s="2" t="s">
        <v>31</v>
      </c>
      <c r="C28" s="2" t="s">
        <v>25</v>
      </c>
      <c r="D28" s="2" t="s">
        <v>28</v>
      </c>
      <c r="E28" s="2" t="s">
        <v>26</v>
      </c>
      <c r="F28" s="2">
        <v>4578.68</v>
      </c>
      <c r="G28" s="2">
        <v>9761</v>
      </c>
      <c r="H28" s="2">
        <v>960</v>
      </c>
      <c r="I28" s="2">
        <v>43</v>
      </c>
      <c r="J28" s="2">
        <v>7580.12</v>
      </c>
      <c r="K28" s="2">
        <v>9.8400000000000001E-2</v>
      </c>
      <c r="L28" s="2">
        <v>4.7699999999999996</v>
      </c>
      <c r="M28" s="2">
        <v>0.65549999999999997</v>
      </c>
      <c r="N28" s="3">
        <f t="shared" si="0"/>
        <v>4.4791666666666667E-2</v>
      </c>
      <c r="O28" s="5">
        <f>Table1[[#This Row],[Conversions-]]/Table1[[#This Row],[Clicks-]]*100</f>
        <v>4.479166666666667</v>
      </c>
      <c r="P28" s="22">
        <f>SUM(Table1[Revenue-])/SUM(Table1[Spent])</f>
        <v>3.9916314247564531</v>
      </c>
      <c r="Q28" s="54">
        <f>Table1[[#This Row],[Revenue-]]-Table1[[#This Row],[Spent]]</f>
        <v>3001.4399999999996</v>
      </c>
      <c r="R28" s="24" t="str">
        <f t="shared" si="1"/>
        <v>Jul</v>
      </c>
      <c r="S28" s="24" t="str">
        <f t="shared" si="2"/>
        <v>2023</v>
      </c>
    </row>
    <row r="29" spans="1:19" ht="15.6" x14ac:dyDescent="0.3">
      <c r="A29" s="4">
        <v>45116</v>
      </c>
      <c r="B29" s="5" t="s">
        <v>34</v>
      </c>
      <c r="C29" s="5" t="s">
        <v>25</v>
      </c>
      <c r="D29" s="5" t="s">
        <v>21</v>
      </c>
      <c r="E29" s="5" t="s">
        <v>33</v>
      </c>
      <c r="F29" s="5">
        <v>969.39</v>
      </c>
      <c r="G29" s="5">
        <v>8563</v>
      </c>
      <c r="H29" s="5">
        <v>879</v>
      </c>
      <c r="I29" s="5">
        <v>2</v>
      </c>
      <c r="J29" s="5">
        <v>10178.950000000001</v>
      </c>
      <c r="K29" s="5">
        <v>0.1027</v>
      </c>
      <c r="L29" s="5">
        <v>1.1000000000000001</v>
      </c>
      <c r="M29" s="5">
        <v>9.5004000000000008</v>
      </c>
      <c r="N29" s="3">
        <f t="shared" si="0"/>
        <v>2.2753128555176336E-3</v>
      </c>
      <c r="O29" s="5">
        <f>Table1[[#This Row],[Conversions-]]/Table1[[#This Row],[Clicks-]]*100</f>
        <v>0.22753128555176336</v>
      </c>
      <c r="P29" s="22">
        <f>SUM(Table1[Revenue-])/SUM(Table1[Spent])</f>
        <v>3.9916314247564531</v>
      </c>
      <c r="Q29" s="54">
        <f>Table1[[#This Row],[Revenue-]]-Table1[[#This Row],[Spent]]</f>
        <v>9209.5600000000013</v>
      </c>
      <c r="R29" s="24" t="str">
        <f t="shared" si="1"/>
        <v>Jul</v>
      </c>
      <c r="S29" s="24" t="str">
        <f t="shared" si="2"/>
        <v>2023</v>
      </c>
    </row>
    <row r="30" spans="1:19" ht="15.6" x14ac:dyDescent="0.3">
      <c r="A30" s="1">
        <v>45123</v>
      </c>
      <c r="B30" s="2" t="s">
        <v>31</v>
      </c>
      <c r="C30" s="2" t="s">
        <v>32</v>
      </c>
      <c r="D30" s="2" t="s">
        <v>21</v>
      </c>
      <c r="E30" s="2" t="s">
        <v>29</v>
      </c>
      <c r="F30" s="2">
        <v>524.51</v>
      </c>
      <c r="G30" s="2">
        <v>8309</v>
      </c>
      <c r="H30" s="2">
        <v>818</v>
      </c>
      <c r="I30" s="2">
        <v>27</v>
      </c>
      <c r="J30" s="2">
        <v>11469.56</v>
      </c>
      <c r="K30" s="2">
        <v>9.8400000000000001E-2</v>
      </c>
      <c r="L30" s="2">
        <v>0.64</v>
      </c>
      <c r="M30" s="2">
        <v>20.8672</v>
      </c>
      <c r="N30" s="3">
        <f t="shared" si="0"/>
        <v>3.3007334963325183E-2</v>
      </c>
      <c r="O30" s="5">
        <f>Table1[[#This Row],[Conversions-]]/Table1[[#This Row],[Clicks-]]*100</f>
        <v>3.3007334963325183</v>
      </c>
      <c r="P30" s="22">
        <f>SUM(Table1[Revenue-])/SUM(Table1[Spent])</f>
        <v>3.9916314247564531</v>
      </c>
      <c r="Q30" s="54">
        <f>Table1[[#This Row],[Revenue-]]-Table1[[#This Row],[Spent]]</f>
        <v>10945.05</v>
      </c>
      <c r="R30" s="24" t="str">
        <f t="shared" si="1"/>
        <v>Jul</v>
      </c>
      <c r="S30" s="24" t="str">
        <f t="shared" si="2"/>
        <v>2023</v>
      </c>
    </row>
    <row r="31" spans="1:19" ht="15.6" x14ac:dyDescent="0.3">
      <c r="A31" s="4">
        <v>45130</v>
      </c>
      <c r="B31" s="5" t="s">
        <v>23</v>
      </c>
      <c r="C31" s="5" t="s">
        <v>20</v>
      </c>
      <c r="D31" s="5" t="s">
        <v>24</v>
      </c>
      <c r="E31" s="5" t="s">
        <v>26</v>
      </c>
      <c r="F31" s="5">
        <v>882.8</v>
      </c>
      <c r="G31" s="5">
        <v>6439</v>
      </c>
      <c r="H31" s="5">
        <v>262</v>
      </c>
      <c r="I31" s="5">
        <v>36</v>
      </c>
      <c r="J31" s="5">
        <v>9695.8799999999992</v>
      </c>
      <c r="K31" s="5">
        <v>4.07E-2</v>
      </c>
      <c r="L31" s="5">
        <v>3.37</v>
      </c>
      <c r="M31" s="5">
        <v>9.9831000000000003</v>
      </c>
      <c r="N31" s="3">
        <f t="shared" si="0"/>
        <v>0.13740458015267176</v>
      </c>
      <c r="O31" s="5">
        <f>Table1[[#This Row],[Conversions-]]/Table1[[#This Row],[Clicks-]]*100</f>
        <v>13.740458015267176</v>
      </c>
      <c r="P31" s="22">
        <f>SUM(Table1[Revenue-])/SUM(Table1[Spent])</f>
        <v>3.9916314247564531</v>
      </c>
      <c r="Q31" s="54">
        <f>Table1[[#This Row],[Revenue-]]-Table1[[#This Row],[Spent]]</f>
        <v>8813.08</v>
      </c>
      <c r="R31" s="24" t="str">
        <f t="shared" si="1"/>
        <v>Jul</v>
      </c>
      <c r="S31" s="24" t="str">
        <f t="shared" si="2"/>
        <v>2023</v>
      </c>
    </row>
    <row r="32" spans="1:19" ht="15.6" x14ac:dyDescent="0.3">
      <c r="A32" s="1">
        <v>45137</v>
      </c>
      <c r="B32" s="2" t="s">
        <v>34</v>
      </c>
      <c r="C32" s="2" t="s">
        <v>32</v>
      </c>
      <c r="D32" s="2" t="s">
        <v>30</v>
      </c>
      <c r="E32" s="2" t="s">
        <v>33</v>
      </c>
      <c r="F32" s="2">
        <v>4887.33</v>
      </c>
      <c r="G32" s="2">
        <v>5230</v>
      </c>
      <c r="H32" s="2">
        <v>241</v>
      </c>
      <c r="I32" s="2">
        <v>27</v>
      </c>
      <c r="J32" s="2">
        <v>5105.7</v>
      </c>
      <c r="K32" s="2">
        <v>4.6100000000000002E-2</v>
      </c>
      <c r="L32" s="2">
        <v>20.28</v>
      </c>
      <c r="M32" s="2">
        <v>4.4699999999999997E-2</v>
      </c>
      <c r="N32" s="3">
        <f t="shared" si="0"/>
        <v>0.11203319502074689</v>
      </c>
      <c r="O32" s="5">
        <f>Table1[[#This Row],[Conversions-]]/Table1[[#This Row],[Clicks-]]*100</f>
        <v>11.20331950207469</v>
      </c>
      <c r="P32" s="22">
        <f>SUM(Table1[Revenue-])/SUM(Table1[Spent])</f>
        <v>3.9916314247564531</v>
      </c>
      <c r="Q32" s="54">
        <f>Table1[[#This Row],[Revenue-]]-Table1[[#This Row],[Spent]]</f>
        <v>218.36999999999989</v>
      </c>
      <c r="R32" s="24" t="str">
        <f t="shared" si="1"/>
        <v>Jul</v>
      </c>
      <c r="S32" s="24" t="str">
        <f t="shared" si="2"/>
        <v>2023</v>
      </c>
    </row>
    <row r="33" spans="1:19" ht="15.6" x14ac:dyDescent="0.3">
      <c r="A33" s="4">
        <v>45144</v>
      </c>
      <c r="B33" s="5" t="s">
        <v>31</v>
      </c>
      <c r="C33" s="5" t="s">
        <v>25</v>
      </c>
      <c r="D33" s="5" t="s">
        <v>24</v>
      </c>
      <c r="E33" s="5" t="s">
        <v>22</v>
      </c>
      <c r="F33" s="5">
        <v>1475</v>
      </c>
      <c r="G33" s="5">
        <v>6477</v>
      </c>
      <c r="H33" s="5">
        <v>361</v>
      </c>
      <c r="I33" s="5">
        <v>28</v>
      </c>
      <c r="J33" s="5">
        <v>5619.49</v>
      </c>
      <c r="K33" s="5">
        <v>5.57E-2</v>
      </c>
      <c r="L33" s="5">
        <v>4.09</v>
      </c>
      <c r="M33" s="5">
        <v>2.8098000000000001</v>
      </c>
      <c r="N33" s="3">
        <f t="shared" si="0"/>
        <v>7.7562326869806089E-2</v>
      </c>
      <c r="O33" s="5">
        <f>Table1[[#This Row],[Conversions-]]/Table1[[#This Row],[Clicks-]]*100</f>
        <v>7.7562326869806091</v>
      </c>
      <c r="P33" s="22">
        <f>SUM(Table1[Revenue-])/SUM(Table1[Spent])</f>
        <v>3.9916314247564531</v>
      </c>
      <c r="Q33" s="54">
        <f>Table1[[#This Row],[Revenue-]]-Table1[[#This Row],[Spent]]</f>
        <v>4144.49</v>
      </c>
      <c r="R33" s="24" t="str">
        <f t="shared" si="1"/>
        <v>Aug</v>
      </c>
      <c r="S33" s="24" t="str">
        <f t="shared" si="2"/>
        <v>2023</v>
      </c>
    </row>
    <row r="34" spans="1:19" ht="15.6" x14ac:dyDescent="0.3">
      <c r="A34" s="1">
        <v>45151</v>
      </c>
      <c r="B34" s="2" t="s">
        <v>34</v>
      </c>
      <c r="C34" s="2" t="s">
        <v>20</v>
      </c>
      <c r="D34" s="2" t="s">
        <v>24</v>
      </c>
      <c r="E34" s="2" t="s">
        <v>26</v>
      </c>
      <c r="F34" s="2">
        <v>2653.89</v>
      </c>
      <c r="G34" s="2">
        <v>8129</v>
      </c>
      <c r="H34" s="2">
        <v>677</v>
      </c>
      <c r="I34" s="2">
        <v>20</v>
      </c>
      <c r="J34" s="2">
        <v>13651.72</v>
      </c>
      <c r="K34" s="2">
        <v>8.3299999999999999E-2</v>
      </c>
      <c r="L34" s="2">
        <v>3.92</v>
      </c>
      <c r="M34" s="2">
        <v>4.1440000000000001</v>
      </c>
      <c r="N34" s="3">
        <f t="shared" ref="N34:N65" si="3">I34/H34</f>
        <v>2.9542097488921712E-2</v>
      </c>
      <c r="O34" s="5">
        <f>Table1[[#This Row],[Conversions-]]/Table1[[#This Row],[Clicks-]]*100</f>
        <v>2.954209748892171</v>
      </c>
      <c r="P34" s="22">
        <f>SUM(Table1[Revenue-])/SUM(Table1[Spent])</f>
        <v>3.9916314247564531</v>
      </c>
      <c r="Q34" s="54">
        <f>Table1[[#This Row],[Revenue-]]-Table1[[#This Row],[Spent]]</f>
        <v>10997.83</v>
      </c>
      <c r="R34" s="24" t="str">
        <f t="shared" ref="R34:R65" si="4">TEXT(A34,"mmm")</f>
        <v>Aug</v>
      </c>
      <c r="S34" s="24" t="str">
        <f t="shared" ref="S34:S65" si="5">TEXT(A34,"YYYY")</f>
        <v>2023</v>
      </c>
    </row>
    <row r="35" spans="1:19" ht="15.6" x14ac:dyDescent="0.3">
      <c r="A35" s="4">
        <v>45158</v>
      </c>
      <c r="B35" s="5" t="s">
        <v>23</v>
      </c>
      <c r="C35" s="5" t="s">
        <v>32</v>
      </c>
      <c r="D35" s="5" t="s">
        <v>28</v>
      </c>
      <c r="E35" s="5" t="s">
        <v>33</v>
      </c>
      <c r="F35" s="5">
        <v>3283.84</v>
      </c>
      <c r="G35" s="5">
        <v>5414</v>
      </c>
      <c r="H35" s="5">
        <v>643</v>
      </c>
      <c r="I35" s="5">
        <v>4</v>
      </c>
      <c r="J35" s="5">
        <v>19911.599999999999</v>
      </c>
      <c r="K35" s="5">
        <v>0.1188</v>
      </c>
      <c r="L35" s="5">
        <v>5.1100000000000003</v>
      </c>
      <c r="M35" s="5">
        <v>5.0635000000000003</v>
      </c>
      <c r="N35" s="3">
        <f t="shared" si="3"/>
        <v>6.2208398133748056E-3</v>
      </c>
      <c r="O35" s="5">
        <f>Table1[[#This Row],[Conversions-]]/Table1[[#This Row],[Clicks-]]*100</f>
        <v>0.62208398133748055</v>
      </c>
      <c r="P35" s="22">
        <f>SUM(Table1[Revenue-])/SUM(Table1[Spent])</f>
        <v>3.9916314247564531</v>
      </c>
      <c r="Q35" s="54">
        <f>Table1[[#This Row],[Revenue-]]-Table1[[#This Row],[Spent]]</f>
        <v>16627.759999999998</v>
      </c>
      <c r="R35" s="24" t="str">
        <f t="shared" si="4"/>
        <v>Aug</v>
      </c>
      <c r="S35" s="24" t="str">
        <f t="shared" si="5"/>
        <v>2023</v>
      </c>
    </row>
    <row r="36" spans="1:19" ht="15.6" x14ac:dyDescent="0.3">
      <c r="A36" s="1">
        <v>45165</v>
      </c>
      <c r="B36" s="2" t="s">
        <v>34</v>
      </c>
      <c r="C36" s="2" t="s">
        <v>27</v>
      </c>
      <c r="D36" s="2" t="s">
        <v>21</v>
      </c>
      <c r="E36" s="2" t="s">
        <v>33</v>
      </c>
      <c r="F36" s="2">
        <v>630.86</v>
      </c>
      <c r="G36" s="2">
        <v>9141</v>
      </c>
      <c r="H36" s="2">
        <v>207</v>
      </c>
      <c r="I36" s="2">
        <v>32</v>
      </c>
      <c r="J36" s="2">
        <v>15580.93</v>
      </c>
      <c r="K36" s="2">
        <v>2.2599999999999999E-2</v>
      </c>
      <c r="L36" s="2">
        <v>3.05</v>
      </c>
      <c r="M36" s="2">
        <v>23.697900000000001</v>
      </c>
      <c r="N36" s="3">
        <f t="shared" si="3"/>
        <v>0.15458937198067632</v>
      </c>
      <c r="O36" s="5">
        <f>Table1[[#This Row],[Conversions-]]/Table1[[#This Row],[Clicks-]]*100</f>
        <v>15.458937198067632</v>
      </c>
      <c r="P36" s="22">
        <f>SUM(Table1[Revenue-])/SUM(Table1[Spent])</f>
        <v>3.9916314247564531</v>
      </c>
      <c r="Q36" s="54">
        <f>Table1[[#This Row],[Revenue-]]-Table1[[#This Row],[Spent]]</f>
        <v>14950.07</v>
      </c>
      <c r="R36" s="24" t="str">
        <f t="shared" si="4"/>
        <v>Aug</v>
      </c>
      <c r="S36" s="24" t="str">
        <f t="shared" si="5"/>
        <v>2023</v>
      </c>
    </row>
    <row r="37" spans="1:19" ht="15.6" x14ac:dyDescent="0.3">
      <c r="A37" s="4">
        <v>45172</v>
      </c>
      <c r="B37" s="5" t="s">
        <v>23</v>
      </c>
      <c r="C37" s="5" t="s">
        <v>32</v>
      </c>
      <c r="D37" s="5" t="s">
        <v>21</v>
      </c>
      <c r="E37" s="5" t="s">
        <v>26</v>
      </c>
      <c r="F37" s="5">
        <v>4683.8999999999996</v>
      </c>
      <c r="G37" s="5">
        <v>4693</v>
      </c>
      <c r="H37" s="5">
        <v>553</v>
      </c>
      <c r="I37" s="5">
        <v>14</v>
      </c>
      <c r="J37" s="5">
        <v>15632.65</v>
      </c>
      <c r="K37" s="5">
        <v>0.1178</v>
      </c>
      <c r="L37" s="5">
        <v>8.4700000000000006</v>
      </c>
      <c r="M37" s="5">
        <v>2.3374999999999999</v>
      </c>
      <c r="N37" s="3">
        <f t="shared" si="3"/>
        <v>2.5316455696202531E-2</v>
      </c>
      <c r="O37" s="5">
        <f>Table1[[#This Row],[Conversions-]]/Table1[[#This Row],[Clicks-]]*100</f>
        <v>2.5316455696202533</v>
      </c>
      <c r="P37" s="22">
        <f>SUM(Table1[Revenue-])/SUM(Table1[Spent])</f>
        <v>3.9916314247564531</v>
      </c>
      <c r="Q37" s="54">
        <f>Table1[[#This Row],[Revenue-]]-Table1[[#This Row],[Spent]]</f>
        <v>10948.75</v>
      </c>
      <c r="R37" s="24" t="str">
        <f t="shared" si="4"/>
        <v>Sep</v>
      </c>
      <c r="S37" s="24" t="str">
        <f t="shared" si="5"/>
        <v>2023</v>
      </c>
    </row>
    <row r="38" spans="1:19" ht="15.6" x14ac:dyDescent="0.3">
      <c r="A38" s="1">
        <v>45179</v>
      </c>
      <c r="B38" s="2" t="s">
        <v>19</v>
      </c>
      <c r="C38" s="2" t="s">
        <v>20</v>
      </c>
      <c r="D38" s="2" t="s">
        <v>21</v>
      </c>
      <c r="E38" s="2" t="s">
        <v>26</v>
      </c>
      <c r="F38" s="2">
        <v>4049.72</v>
      </c>
      <c r="G38" s="2">
        <v>9585</v>
      </c>
      <c r="H38" s="2">
        <v>860</v>
      </c>
      <c r="I38" s="2">
        <v>20</v>
      </c>
      <c r="J38" s="2">
        <v>3451.58</v>
      </c>
      <c r="K38" s="2">
        <v>8.9700000000000002E-2</v>
      </c>
      <c r="L38" s="2">
        <v>4.71</v>
      </c>
      <c r="M38" s="2">
        <v>-0.1477</v>
      </c>
      <c r="N38" s="3">
        <f t="shared" si="3"/>
        <v>2.3255813953488372E-2</v>
      </c>
      <c r="O38" s="5">
        <f>Table1[[#This Row],[Conversions-]]/Table1[[#This Row],[Clicks-]]*100</f>
        <v>2.3255813953488373</v>
      </c>
      <c r="P38" s="22">
        <f>SUM(Table1[Revenue-])/SUM(Table1[Spent])</f>
        <v>3.9916314247564531</v>
      </c>
      <c r="Q38" s="54">
        <f>Table1[[#This Row],[Revenue-]]-Table1[[#This Row],[Spent]]</f>
        <v>-598.13999999999987</v>
      </c>
      <c r="R38" s="24" t="str">
        <f t="shared" si="4"/>
        <v>Sep</v>
      </c>
      <c r="S38" s="24" t="str">
        <f t="shared" si="5"/>
        <v>2023</v>
      </c>
    </row>
    <row r="39" spans="1:19" ht="15.6" x14ac:dyDescent="0.3">
      <c r="A39" s="4">
        <v>45186</v>
      </c>
      <c r="B39" s="5" t="s">
        <v>19</v>
      </c>
      <c r="C39" s="5" t="s">
        <v>25</v>
      </c>
      <c r="D39" s="5" t="s">
        <v>30</v>
      </c>
      <c r="E39" s="5" t="s">
        <v>26</v>
      </c>
      <c r="F39" s="5">
        <v>2760.36</v>
      </c>
      <c r="G39" s="5">
        <v>5113</v>
      </c>
      <c r="H39" s="5">
        <v>449</v>
      </c>
      <c r="I39" s="5">
        <v>2</v>
      </c>
      <c r="J39" s="5">
        <v>6173</v>
      </c>
      <c r="K39" s="5">
        <v>8.7800000000000003E-2</v>
      </c>
      <c r="L39" s="5">
        <v>6.15</v>
      </c>
      <c r="M39" s="5">
        <v>1.2363</v>
      </c>
      <c r="N39" s="3">
        <f t="shared" si="3"/>
        <v>4.4543429844097994E-3</v>
      </c>
      <c r="O39" s="5">
        <f>Table1[[#This Row],[Conversions-]]/Table1[[#This Row],[Clicks-]]*100</f>
        <v>0.44543429844097993</v>
      </c>
      <c r="P39" s="22">
        <f>SUM(Table1[Revenue-])/SUM(Table1[Spent])</f>
        <v>3.9916314247564531</v>
      </c>
      <c r="Q39" s="54">
        <f>Table1[[#This Row],[Revenue-]]-Table1[[#This Row],[Spent]]</f>
        <v>3412.64</v>
      </c>
      <c r="R39" s="24" t="str">
        <f t="shared" si="4"/>
        <v>Sep</v>
      </c>
      <c r="S39" s="24" t="str">
        <f t="shared" si="5"/>
        <v>2023</v>
      </c>
    </row>
    <row r="40" spans="1:19" ht="15.6" x14ac:dyDescent="0.3">
      <c r="A40" s="1">
        <v>45193</v>
      </c>
      <c r="B40" s="2" t="s">
        <v>31</v>
      </c>
      <c r="C40" s="2" t="s">
        <v>32</v>
      </c>
      <c r="D40" s="2" t="s">
        <v>30</v>
      </c>
      <c r="E40" s="2" t="s">
        <v>22</v>
      </c>
      <c r="F40" s="2">
        <v>1712.71</v>
      </c>
      <c r="G40" s="2">
        <v>2964</v>
      </c>
      <c r="H40" s="2">
        <v>951</v>
      </c>
      <c r="I40" s="2">
        <v>9</v>
      </c>
      <c r="J40" s="2">
        <v>7700.25</v>
      </c>
      <c r="K40" s="2">
        <v>0.32090000000000002</v>
      </c>
      <c r="L40" s="2">
        <v>1.8</v>
      </c>
      <c r="M40" s="2">
        <v>3.4958999999999998</v>
      </c>
      <c r="N40" s="3">
        <f t="shared" si="3"/>
        <v>9.4637223974763408E-3</v>
      </c>
      <c r="O40" s="5">
        <f>Table1[[#This Row],[Conversions-]]/Table1[[#This Row],[Clicks-]]*100</f>
        <v>0.94637223974763407</v>
      </c>
      <c r="P40" s="22">
        <f>SUM(Table1[Revenue-])/SUM(Table1[Spent])</f>
        <v>3.9916314247564531</v>
      </c>
      <c r="Q40" s="54">
        <f>Table1[[#This Row],[Revenue-]]-Table1[[#This Row],[Spent]]</f>
        <v>5987.54</v>
      </c>
      <c r="R40" s="24" t="str">
        <f t="shared" si="4"/>
        <v>Sep</v>
      </c>
      <c r="S40" s="24" t="str">
        <f t="shared" si="5"/>
        <v>2023</v>
      </c>
    </row>
    <row r="41" spans="1:19" ht="15.6" x14ac:dyDescent="0.3">
      <c r="A41" s="4">
        <v>45200</v>
      </c>
      <c r="B41" s="5" t="s">
        <v>34</v>
      </c>
      <c r="C41" s="5" t="s">
        <v>25</v>
      </c>
      <c r="D41" s="5" t="s">
        <v>28</v>
      </c>
      <c r="E41" s="5" t="s">
        <v>33</v>
      </c>
      <c r="F41" s="5">
        <v>1503.7</v>
      </c>
      <c r="G41" s="5">
        <v>3793</v>
      </c>
      <c r="H41" s="5">
        <v>595</v>
      </c>
      <c r="I41" s="5">
        <v>19</v>
      </c>
      <c r="J41" s="5">
        <v>13329.54</v>
      </c>
      <c r="K41" s="5">
        <v>0.15690000000000001</v>
      </c>
      <c r="L41" s="5">
        <v>2.5299999999999998</v>
      </c>
      <c r="M41" s="5">
        <v>7.8644999999999996</v>
      </c>
      <c r="N41" s="3">
        <f t="shared" si="3"/>
        <v>3.1932773109243695E-2</v>
      </c>
      <c r="O41" s="5">
        <f>Table1[[#This Row],[Conversions-]]/Table1[[#This Row],[Clicks-]]*100</f>
        <v>3.1932773109243695</v>
      </c>
      <c r="P41" s="22">
        <f>SUM(Table1[Revenue-])/SUM(Table1[Spent])</f>
        <v>3.9916314247564531</v>
      </c>
      <c r="Q41" s="54">
        <f>Table1[[#This Row],[Revenue-]]-Table1[[#This Row],[Spent]]</f>
        <v>11825.84</v>
      </c>
      <c r="R41" s="24" t="str">
        <f t="shared" si="4"/>
        <v>Oct</v>
      </c>
      <c r="S41" s="24" t="str">
        <f t="shared" si="5"/>
        <v>2023</v>
      </c>
    </row>
    <row r="42" spans="1:19" ht="15.6" x14ac:dyDescent="0.3">
      <c r="A42" s="1">
        <v>45207</v>
      </c>
      <c r="B42" s="2" t="s">
        <v>19</v>
      </c>
      <c r="C42" s="2" t="s">
        <v>20</v>
      </c>
      <c r="D42" s="2" t="s">
        <v>21</v>
      </c>
      <c r="E42" s="2" t="s">
        <v>29</v>
      </c>
      <c r="F42" s="2">
        <v>4259.99</v>
      </c>
      <c r="G42" s="2">
        <v>3130</v>
      </c>
      <c r="H42" s="2">
        <v>719</v>
      </c>
      <c r="I42" s="2">
        <v>12</v>
      </c>
      <c r="J42" s="2">
        <v>11611.84</v>
      </c>
      <c r="K42" s="2">
        <v>0.22969999999999999</v>
      </c>
      <c r="L42" s="2">
        <v>5.92</v>
      </c>
      <c r="M42" s="2">
        <v>1.7258</v>
      </c>
      <c r="N42" s="3">
        <f t="shared" si="3"/>
        <v>1.6689847009735744E-2</v>
      </c>
      <c r="O42" s="5">
        <f>Table1[[#This Row],[Conversions-]]/Table1[[#This Row],[Clicks-]]*100</f>
        <v>1.6689847009735743</v>
      </c>
      <c r="P42" s="22">
        <f>SUM(Table1[Revenue-])/SUM(Table1[Spent])</f>
        <v>3.9916314247564531</v>
      </c>
      <c r="Q42" s="54">
        <f>Table1[[#This Row],[Revenue-]]-Table1[[#This Row],[Spent]]</f>
        <v>7351.85</v>
      </c>
      <c r="R42" s="24" t="str">
        <f t="shared" si="4"/>
        <v>Oct</v>
      </c>
      <c r="S42" s="24" t="str">
        <f t="shared" si="5"/>
        <v>2023</v>
      </c>
    </row>
    <row r="43" spans="1:19" ht="15.6" x14ac:dyDescent="0.3">
      <c r="A43" s="4">
        <v>45214</v>
      </c>
      <c r="B43" s="5" t="s">
        <v>34</v>
      </c>
      <c r="C43" s="5" t="s">
        <v>25</v>
      </c>
      <c r="D43" s="5" t="s">
        <v>30</v>
      </c>
      <c r="E43" s="5" t="s">
        <v>29</v>
      </c>
      <c r="F43" s="5">
        <v>4860.17</v>
      </c>
      <c r="G43" s="5">
        <v>9056</v>
      </c>
      <c r="H43" s="5">
        <v>222</v>
      </c>
      <c r="I43" s="5">
        <v>37</v>
      </c>
      <c r="J43" s="5">
        <v>12814.42</v>
      </c>
      <c r="K43" s="5">
        <v>2.4500000000000001E-2</v>
      </c>
      <c r="L43" s="5">
        <v>21.89</v>
      </c>
      <c r="M43" s="5">
        <v>1.6366000000000001</v>
      </c>
      <c r="N43" s="3">
        <f t="shared" si="3"/>
        <v>0.16666666666666666</v>
      </c>
      <c r="O43" s="5">
        <f>Table1[[#This Row],[Conversions-]]/Table1[[#This Row],[Clicks-]]*100</f>
        <v>16.666666666666664</v>
      </c>
      <c r="P43" s="22">
        <f>SUM(Table1[Revenue-])/SUM(Table1[Spent])</f>
        <v>3.9916314247564531</v>
      </c>
      <c r="Q43" s="54">
        <f>Table1[[#This Row],[Revenue-]]-Table1[[#This Row],[Spent]]</f>
        <v>7954.25</v>
      </c>
      <c r="R43" s="24" t="str">
        <f t="shared" si="4"/>
        <v>Oct</v>
      </c>
      <c r="S43" s="24" t="str">
        <f t="shared" si="5"/>
        <v>2023</v>
      </c>
    </row>
    <row r="44" spans="1:19" ht="15.6" x14ac:dyDescent="0.3">
      <c r="A44" s="1">
        <v>45221</v>
      </c>
      <c r="B44" s="2" t="s">
        <v>34</v>
      </c>
      <c r="C44" s="2" t="s">
        <v>27</v>
      </c>
      <c r="D44" s="2" t="s">
        <v>24</v>
      </c>
      <c r="E44" s="2" t="s">
        <v>22</v>
      </c>
      <c r="F44" s="2">
        <v>2365.17</v>
      </c>
      <c r="G44" s="2">
        <v>8728</v>
      </c>
      <c r="H44" s="2">
        <v>895</v>
      </c>
      <c r="I44" s="2">
        <v>44</v>
      </c>
      <c r="J44" s="2">
        <v>12869.36</v>
      </c>
      <c r="K44" s="2">
        <v>0.10249999999999999</v>
      </c>
      <c r="L44" s="2">
        <v>2.64</v>
      </c>
      <c r="M44" s="2">
        <v>4.4412000000000003</v>
      </c>
      <c r="N44" s="3">
        <f t="shared" si="3"/>
        <v>4.9162011173184354E-2</v>
      </c>
      <c r="O44" s="5">
        <f>Table1[[#This Row],[Conversions-]]/Table1[[#This Row],[Clicks-]]*100</f>
        <v>4.916201117318435</v>
      </c>
      <c r="P44" s="22">
        <f>SUM(Table1[Revenue-])/SUM(Table1[Spent])</f>
        <v>3.9916314247564531</v>
      </c>
      <c r="Q44" s="54">
        <f>Table1[[#This Row],[Revenue-]]-Table1[[#This Row],[Spent]]</f>
        <v>10504.19</v>
      </c>
      <c r="R44" s="24" t="str">
        <f t="shared" si="4"/>
        <v>Oct</v>
      </c>
      <c r="S44" s="24" t="str">
        <f t="shared" si="5"/>
        <v>2023</v>
      </c>
    </row>
    <row r="45" spans="1:19" ht="15.6" x14ac:dyDescent="0.3">
      <c r="A45" s="4">
        <v>45228</v>
      </c>
      <c r="B45" s="5" t="s">
        <v>23</v>
      </c>
      <c r="C45" s="5" t="s">
        <v>25</v>
      </c>
      <c r="D45" s="5" t="s">
        <v>30</v>
      </c>
      <c r="E45" s="5" t="s">
        <v>29</v>
      </c>
      <c r="F45" s="5">
        <v>1957.63</v>
      </c>
      <c r="G45" s="5">
        <v>6396</v>
      </c>
      <c r="H45" s="5">
        <v>191</v>
      </c>
      <c r="I45" s="5">
        <v>17</v>
      </c>
      <c r="J45" s="5">
        <v>4503.55</v>
      </c>
      <c r="K45" s="5">
        <v>2.9899999999999999E-2</v>
      </c>
      <c r="L45" s="5">
        <v>10.25</v>
      </c>
      <c r="M45" s="5">
        <v>1.3005</v>
      </c>
      <c r="N45" s="3">
        <f t="shared" si="3"/>
        <v>8.9005235602094238E-2</v>
      </c>
      <c r="O45" s="5">
        <f>Table1[[#This Row],[Conversions-]]/Table1[[#This Row],[Clicks-]]*100</f>
        <v>8.9005235602094235</v>
      </c>
      <c r="P45" s="22">
        <f>SUM(Table1[Revenue-])/SUM(Table1[Spent])</f>
        <v>3.9916314247564531</v>
      </c>
      <c r="Q45" s="54">
        <f>Table1[[#This Row],[Revenue-]]-Table1[[#This Row],[Spent]]</f>
        <v>2545.92</v>
      </c>
      <c r="R45" s="24" t="str">
        <f t="shared" si="4"/>
        <v>Oct</v>
      </c>
      <c r="S45" s="24" t="str">
        <f t="shared" si="5"/>
        <v>2023</v>
      </c>
    </row>
    <row r="46" spans="1:19" ht="15.6" x14ac:dyDescent="0.3">
      <c r="A46" s="1">
        <v>45235</v>
      </c>
      <c r="B46" s="2" t="s">
        <v>34</v>
      </c>
      <c r="C46" s="2" t="s">
        <v>20</v>
      </c>
      <c r="D46" s="2" t="s">
        <v>28</v>
      </c>
      <c r="E46" s="2" t="s">
        <v>33</v>
      </c>
      <c r="F46" s="2">
        <v>4693.6899999999996</v>
      </c>
      <c r="G46" s="2">
        <v>1612</v>
      </c>
      <c r="H46" s="2">
        <v>254</v>
      </c>
      <c r="I46" s="2">
        <v>28</v>
      </c>
      <c r="J46" s="2">
        <v>12889.41</v>
      </c>
      <c r="K46" s="2">
        <v>0.15759999999999999</v>
      </c>
      <c r="L46" s="2">
        <v>18.48</v>
      </c>
      <c r="M46" s="2">
        <v>1.7461</v>
      </c>
      <c r="N46" s="3">
        <f t="shared" si="3"/>
        <v>0.11023622047244094</v>
      </c>
      <c r="O46" s="5">
        <f>Table1[[#This Row],[Conversions-]]/Table1[[#This Row],[Clicks-]]*100</f>
        <v>11.023622047244094</v>
      </c>
      <c r="P46" s="22">
        <f>SUM(Table1[Revenue-])/SUM(Table1[Spent])</f>
        <v>3.9916314247564531</v>
      </c>
      <c r="Q46" s="54">
        <f>Table1[[#This Row],[Revenue-]]-Table1[[#This Row],[Spent]]</f>
        <v>8195.7200000000012</v>
      </c>
      <c r="R46" s="24" t="str">
        <f t="shared" si="4"/>
        <v>Nov</v>
      </c>
      <c r="S46" s="24" t="str">
        <f t="shared" si="5"/>
        <v>2023</v>
      </c>
    </row>
    <row r="47" spans="1:19" ht="15.6" x14ac:dyDescent="0.3">
      <c r="A47" s="4">
        <v>45242</v>
      </c>
      <c r="B47" s="5" t="s">
        <v>34</v>
      </c>
      <c r="C47" s="5" t="s">
        <v>32</v>
      </c>
      <c r="D47" s="5" t="s">
        <v>21</v>
      </c>
      <c r="E47" s="5" t="s">
        <v>22</v>
      </c>
      <c r="F47" s="5">
        <v>3325.1</v>
      </c>
      <c r="G47" s="5">
        <v>7223</v>
      </c>
      <c r="H47" s="5">
        <v>985</v>
      </c>
      <c r="I47" s="5">
        <v>22</v>
      </c>
      <c r="J47" s="5">
        <v>3463.67</v>
      </c>
      <c r="K47" s="5">
        <v>0.13639999999999999</v>
      </c>
      <c r="L47" s="5">
        <v>3.38</v>
      </c>
      <c r="M47" s="5">
        <v>4.1700000000000001E-2</v>
      </c>
      <c r="N47" s="3">
        <f t="shared" si="3"/>
        <v>2.2335025380710659E-2</v>
      </c>
      <c r="O47" s="5">
        <f>Table1[[#This Row],[Conversions-]]/Table1[[#This Row],[Clicks-]]*100</f>
        <v>2.233502538071066</v>
      </c>
      <c r="P47" s="22">
        <f>SUM(Table1[Revenue-])/SUM(Table1[Spent])</f>
        <v>3.9916314247564531</v>
      </c>
      <c r="Q47" s="54">
        <f>Table1[[#This Row],[Revenue-]]-Table1[[#This Row],[Spent]]</f>
        <v>138.57000000000016</v>
      </c>
      <c r="R47" s="24" t="str">
        <f t="shared" si="4"/>
        <v>Nov</v>
      </c>
      <c r="S47" s="24" t="str">
        <f t="shared" si="5"/>
        <v>2023</v>
      </c>
    </row>
    <row r="48" spans="1:19" ht="15.6" x14ac:dyDescent="0.3">
      <c r="A48" s="1">
        <v>45249</v>
      </c>
      <c r="B48" s="2" t="s">
        <v>23</v>
      </c>
      <c r="C48" s="2" t="s">
        <v>20</v>
      </c>
      <c r="D48" s="2" t="s">
        <v>28</v>
      </c>
      <c r="E48" s="2" t="s">
        <v>33</v>
      </c>
      <c r="F48" s="2">
        <v>688.4</v>
      </c>
      <c r="G48" s="2">
        <v>4477</v>
      </c>
      <c r="H48" s="2">
        <v>205</v>
      </c>
      <c r="I48" s="2">
        <v>38</v>
      </c>
      <c r="J48" s="2">
        <v>17378.22</v>
      </c>
      <c r="K48" s="2">
        <v>4.58E-2</v>
      </c>
      <c r="L48" s="2">
        <v>3.36</v>
      </c>
      <c r="M48" s="2">
        <v>24.244399999999999</v>
      </c>
      <c r="N48" s="3">
        <f t="shared" si="3"/>
        <v>0.18536585365853658</v>
      </c>
      <c r="O48" s="5">
        <f>Table1[[#This Row],[Conversions-]]/Table1[[#This Row],[Clicks-]]*100</f>
        <v>18.536585365853657</v>
      </c>
      <c r="P48" s="22">
        <f>SUM(Table1[Revenue-])/SUM(Table1[Spent])</f>
        <v>3.9916314247564531</v>
      </c>
      <c r="Q48" s="54">
        <f>Table1[[#This Row],[Revenue-]]-Table1[[#This Row],[Spent]]</f>
        <v>16689.82</v>
      </c>
      <c r="R48" s="24" t="str">
        <f t="shared" si="4"/>
        <v>Nov</v>
      </c>
      <c r="S48" s="24" t="str">
        <f t="shared" si="5"/>
        <v>2023</v>
      </c>
    </row>
    <row r="49" spans="1:19" ht="15.6" x14ac:dyDescent="0.3">
      <c r="A49" s="4">
        <v>45256</v>
      </c>
      <c r="B49" s="5" t="s">
        <v>34</v>
      </c>
      <c r="C49" s="5" t="s">
        <v>32</v>
      </c>
      <c r="D49" s="5" t="s">
        <v>21</v>
      </c>
      <c r="E49" s="5" t="s">
        <v>22</v>
      </c>
      <c r="F49" s="5">
        <v>2088.39</v>
      </c>
      <c r="G49" s="5">
        <v>2859</v>
      </c>
      <c r="H49" s="5">
        <v>933</v>
      </c>
      <c r="I49" s="5">
        <v>44</v>
      </c>
      <c r="J49" s="5">
        <v>4436.96</v>
      </c>
      <c r="K49" s="5">
        <v>0.32629999999999998</v>
      </c>
      <c r="L49" s="5">
        <v>2.2400000000000002</v>
      </c>
      <c r="M49" s="5">
        <v>1.1246</v>
      </c>
      <c r="N49" s="3">
        <f t="shared" si="3"/>
        <v>4.7159699892818867E-2</v>
      </c>
      <c r="O49" s="5">
        <f>Table1[[#This Row],[Conversions-]]/Table1[[#This Row],[Clicks-]]*100</f>
        <v>4.7159699892818869</v>
      </c>
      <c r="P49" s="22">
        <f>SUM(Table1[Revenue-])/SUM(Table1[Spent])</f>
        <v>3.9916314247564531</v>
      </c>
      <c r="Q49" s="54">
        <f>Table1[[#This Row],[Revenue-]]-Table1[[#This Row],[Spent]]</f>
        <v>2348.5700000000002</v>
      </c>
      <c r="R49" s="24" t="str">
        <f t="shared" si="4"/>
        <v>Nov</v>
      </c>
      <c r="S49" s="24" t="str">
        <f t="shared" si="5"/>
        <v>2023</v>
      </c>
    </row>
    <row r="50" spans="1:19" ht="15.6" x14ac:dyDescent="0.3">
      <c r="A50" s="1">
        <v>45263</v>
      </c>
      <c r="B50" s="2" t="s">
        <v>19</v>
      </c>
      <c r="C50" s="2" t="s">
        <v>27</v>
      </c>
      <c r="D50" s="2" t="s">
        <v>21</v>
      </c>
      <c r="E50" s="2" t="s">
        <v>29</v>
      </c>
      <c r="F50" s="2">
        <v>4341.92</v>
      </c>
      <c r="G50" s="2">
        <v>7948</v>
      </c>
      <c r="H50" s="2">
        <v>208</v>
      </c>
      <c r="I50" s="2">
        <v>49</v>
      </c>
      <c r="J50" s="2">
        <v>5957.79</v>
      </c>
      <c r="K50" s="2">
        <v>2.6200000000000001E-2</v>
      </c>
      <c r="L50" s="2">
        <v>20.87</v>
      </c>
      <c r="M50" s="2">
        <v>0.37219999999999998</v>
      </c>
      <c r="N50" s="3">
        <f t="shared" si="3"/>
        <v>0.23557692307692307</v>
      </c>
      <c r="O50" s="5">
        <f>Table1[[#This Row],[Conversions-]]/Table1[[#This Row],[Clicks-]]*100</f>
        <v>23.557692307692307</v>
      </c>
      <c r="P50" s="22">
        <f>SUM(Table1[Revenue-])/SUM(Table1[Spent])</f>
        <v>3.9916314247564531</v>
      </c>
      <c r="Q50" s="54">
        <f>Table1[[#This Row],[Revenue-]]-Table1[[#This Row],[Spent]]</f>
        <v>1615.87</v>
      </c>
      <c r="R50" s="24" t="str">
        <f t="shared" si="4"/>
        <v>Dec</v>
      </c>
      <c r="S50" s="24" t="str">
        <f t="shared" si="5"/>
        <v>2023</v>
      </c>
    </row>
    <row r="51" spans="1:19" ht="15.6" x14ac:dyDescent="0.3">
      <c r="A51" s="4">
        <v>45270</v>
      </c>
      <c r="B51" s="5" t="s">
        <v>31</v>
      </c>
      <c r="C51" s="5" t="s">
        <v>32</v>
      </c>
      <c r="D51" s="5" t="s">
        <v>28</v>
      </c>
      <c r="E51" s="5" t="s">
        <v>29</v>
      </c>
      <c r="F51" s="5">
        <v>3211.52</v>
      </c>
      <c r="G51" s="5">
        <v>7790</v>
      </c>
      <c r="H51" s="5">
        <v>886</v>
      </c>
      <c r="I51" s="5">
        <v>41</v>
      </c>
      <c r="J51" s="5">
        <v>7313.16</v>
      </c>
      <c r="K51" s="5">
        <v>0.1137</v>
      </c>
      <c r="L51" s="5">
        <v>3.62</v>
      </c>
      <c r="M51" s="5">
        <v>1.2771999999999999</v>
      </c>
      <c r="N51" s="3">
        <f t="shared" si="3"/>
        <v>4.6275395033860044E-2</v>
      </c>
      <c r="O51" s="5">
        <f>Table1[[#This Row],[Conversions-]]/Table1[[#This Row],[Clicks-]]*100</f>
        <v>4.6275395033860045</v>
      </c>
      <c r="P51" s="22">
        <f>SUM(Table1[Revenue-])/SUM(Table1[Spent])</f>
        <v>3.9916314247564531</v>
      </c>
      <c r="Q51" s="54">
        <f>Table1[[#This Row],[Revenue-]]-Table1[[#This Row],[Spent]]</f>
        <v>4101.6399999999994</v>
      </c>
      <c r="R51" s="24" t="str">
        <f t="shared" si="4"/>
        <v>Dec</v>
      </c>
      <c r="S51" s="24" t="str">
        <f t="shared" si="5"/>
        <v>2023</v>
      </c>
    </row>
    <row r="52" spans="1:19" ht="15.6" x14ac:dyDescent="0.3">
      <c r="A52" s="1">
        <v>45277</v>
      </c>
      <c r="B52" s="2" t="s">
        <v>23</v>
      </c>
      <c r="C52" s="2" t="s">
        <v>32</v>
      </c>
      <c r="D52" s="2" t="s">
        <v>24</v>
      </c>
      <c r="E52" s="2" t="s">
        <v>29</v>
      </c>
      <c r="F52" s="2">
        <v>2828.02</v>
      </c>
      <c r="G52" s="2">
        <v>5429</v>
      </c>
      <c r="H52" s="2">
        <v>502</v>
      </c>
      <c r="I52" s="2">
        <v>17</v>
      </c>
      <c r="J52" s="2">
        <v>5384.96</v>
      </c>
      <c r="K52" s="2">
        <v>9.2499999999999999E-2</v>
      </c>
      <c r="L52" s="2">
        <v>5.63</v>
      </c>
      <c r="M52" s="2">
        <v>0.90410000000000001</v>
      </c>
      <c r="N52" s="3">
        <f t="shared" si="3"/>
        <v>3.386454183266932E-2</v>
      </c>
      <c r="O52" s="5">
        <f>Table1[[#This Row],[Conversions-]]/Table1[[#This Row],[Clicks-]]*100</f>
        <v>3.3864541832669319</v>
      </c>
      <c r="P52" s="22">
        <f>SUM(Table1[Revenue-])/SUM(Table1[Spent])</f>
        <v>3.9916314247564531</v>
      </c>
      <c r="Q52" s="54">
        <f>Table1[[#This Row],[Revenue-]]-Table1[[#This Row],[Spent]]</f>
        <v>2556.94</v>
      </c>
      <c r="R52" s="24" t="str">
        <f t="shared" si="4"/>
        <v>Dec</v>
      </c>
      <c r="S52" s="24" t="str">
        <f t="shared" si="5"/>
        <v>2023</v>
      </c>
    </row>
    <row r="53" spans="1:19" ht="15.6" x14ac:dyDescent="0.3">
      <c r="A53" s="4">
        <v>45284</v>
      </c>
      <c r="B53" s="5" t="s">
        <v>19</v>
      </c>
      <c r="C53" s="5" t="s">
        <v>25</v>
      </c>
      <c r="D53" s="5" t="s">
        <v>30</v>
      </c>
      <c r="E53" s="5" t="s">
        <v>33</v>
      </c>
      <c r="F53" s="5">
        <v>1730.76</v>
      </c>
      <c r="G53" s="5">
        <v>8184</v>
      </c>
      <c r="H53" s="5">
        <v>821</v>
      </c>
      <c r="I53" s="5">
        <v>33</v>
      </c>
      <c r="J53" s="5">
        <v>7941.68</v>
      </c>
      <c r="K53" s="5">
        <v>0.1003</v>
      </c>
      <c r="L53" s="5">
        <v>2.11</v>
      </c>
      <c r="M53" s="5">
        <v>3.5886</v>
      </c>
      <c r="N53" s="3">
        <f t="shared" si="3"/>
        <v>4.0194884287454324E-2</v>
      </c>
      <c r="O53" s="5">
        <f>Table1[[#This Row],[Conversions-]]/Table1[[#This Row],[Clicks-]]*100</f>
        <v>4.0194884287454329</v>
      </c>
      <c r="P53" s="22">
        <f>SUM(Table1[Revenue-])/SUM(Table1[Spent])</f>
        <v>3.9916314247564531</v>
      </c>
      <c r="Q53" s="54">
        <f>Table1[[#This Row],[Revenue-]]-Table1[[#This Row],[Spent]]</f>
        <v>6210.92</v>
      </c>
      <c r="R53" s="24" t="str">
        <f t="shared" si="4"/>
        <v>Dec</v>
      </c>
      <c r="S53" s="24" t="str">
        <f t="shared" si="5"/>
        <v>2023</v>
      </c>
    </row>
    <row r="54" spans="1:19" ht="15.6" x14ac:dyDescent="0.3">
      <c r="A54" s="1">
        <v>45291</v>
      </c>
      <c r="B54" s="2" t="s">
        <v>34</v>
      </c>
      <c r="C54" s="2" t="s">
        <v>20</v>
      </c>
      <c r="D54" s="2" t="s">
        <v>30</v>
      </c>
      <c r="E54" s="2" t="s">
        <v>26</v>
      </c>
      <c r="F54" s="2">
        <v>4735.9399999999996</v>
      </c>
      <c r="G54" s="2">
        <v>5473</v>
      </c>
      <c r="H54" s="2">
        <v>761</v>
      </c>
      <c r="I54" s="2">
        <v>45</v>
      </c>
      <c r="J54" s="2">
        <v>2492.35</v>
      </c>
      <c r="K54" s="2">
        <v>0.13900000000000001</v>
      </c>
      <c r="L54" s="2">
        <v>6.22</v>
      </c>
      <c r="M54" s="2">
        <v>-0.47370000000000001</v>
      </c>
      <c r="N54" s="3">
        <f t="shared" si="3"/>
        <v>5.9132720105124839E-2</v>
      </c>
      <c r="O54" s="5">
        <f>Table1[[#This Row],[Conversions-]]/Table1[[#This Row],[Clicks-]]*100</f>
        <v>5.9132720105124843</v>
      </c>
      <c r="P54" s="22">
        <f>SUM(Table1[Revenue-])/SUM(Table1[Spent])</f>
        <v>3.9916314247564531</v>
      </c>
      <c r="Q54" s="54">
        <f>Table1[[#This Row],[Revenue-]]-Table1[[#This Row],[Spent]]</f>
        <v>-2243.5899999999997</v>
      </c>
      <c r="R54" s="24" t="str">
        <f t="shared" si="4"/>
        <v>Dec</v>
      </c>
      <c r="S54" s="24" t="str">
        <f t="shared" si="5"/>
        <v>2023</v>
      </c>
    </row>
    <row r="55" spans="1:19" ht="15.6" x14ac:dyDescent="0.3">
      <c r="A55" s="4">
        <v>45298</v>
      </c>
      <c r="B55" s="5" t="s">
        <v>34</v>
      </c>
      <c r="C55" s="5" t="s">
        <v>32</v>
      </c>
      <c r="D55" s="5" t="s">
        <v>30</v>
      </c>
      <c r="E55" s="5" t="s">
        <v>33</v>
      </c>
      <c r="F55" s="5">
        <v>1451.91</v>
      </c>
      <c r="G55" s="5">
        <v>3573</v>
      </c>
      <c r="H55" s="5">
        <v>592</v>
      </c>
      <c r="I55" s="5">
        <v>28</v>
      </c>
      <c r="J55" s="5">
        <v>18330.96</v>
      </c>
      <c r="K55" s="5">
        <v>0.16569999999999999</v>
      </c>
      <c r="L55" s="5">
        <v>2.4500000000000002</v>
      </c>
      <c r="M55" s="5">
        <v>11.625400000000001</v>
      </c>
      <c r="N55" s="3">
        <f t="shared" si="3"/>
        <v>4.72972972972973E-2</v>
      </c>
      <c r="O55" s="5">
        <f>Table1[[#This Row],[Conversions-]]/Table1[[#This Row],[Clicks-]]*100</f>
        <v>4.7297297297297298</v>
      </c>
      <c r="P55" s="22">
        <f>SUM(Table1[Revenue-])/SUM(Table1[Spent])</f>
        <v>3.9916314247564531</v>
      </c>
      <c r="Q55" s="54">
        <f>Table1[[#This Row],[Revenue-]]-Table1[[#This Row],[Spent]]</f>
        <v>16879.05</v>
      </c>
      <c r="R55" s="24" t="str">
        <f t="shared" si="4"/>
        <v>Jan</v>
      </c>
      <c r="S55" s="24" t="str">
        <f t="shared" si="5"/>
        <v>2024</v>
      </c>
    </row>
    <row r="56" spans="1:19" ht="15.6" x14ac:dyDescent="0.3">
      <c r="A56" s="1">
        <v>45305</v>
      </c>
      <c r="B56" s="2" t="s">
        <v>23</v>
      </c>
      <c r="C56" s="2" t="s">
        <v>27</v>
      </c>
      <c r="D56" s="2" t="s">
        <v>21</v>
      </c>
      <c r="E56" s="2" t="s">
        <v>33</v>
      </c>
      <c r="F56" s="2">
        <v>1339.96</v>
      </c>
      <c r="G56" s="2">
        <v>2205</v>
      </c>
      <c r="H56" s="2">
        <v>849</v>
      </c>
      <c r="I56" s="2">
        <v>16</v>
      </c>
      <c r="J56" s="2">
        <v>8983.1200000000008</v>
      </c>
      <c r="K56" s="2">
        <v>0.38500000000000001</v>
      </c>
      <c r="L56" s="2">
        <v>1.58</v>
      </c>
      <c r="M56" s="2">
        <v>5.7039999999999997</v>
      </c>
      <c r="N56" s="3">
        <f t="shared" si="3"/>
        <v>1.884570082449941E-2</v>
      </c>
      <c r="O56" s="5">
        <f>Table1[[#This Row],[Conversions-]]/Table1[[#This Row],[Clicks-]]*100</f>
        <v>1.884570082449941</v>
      </c>
      <c r="P56" s="22">
        <f>SUM(Table1[Revenue-])/SUM(Table1[Spent])</f>
        <v>3.9916314247564531</v>
      </c>
      <c r="Q56" s="54">
        <f>Table1[[#This Row],[Revenue-]]-Table1[[#This Row],[Spent]]</f>
        <v>7643.1600000000008</v>
      </c>
      <c r="R56" s="24" t="str">
        <f t="shared" si="4"/>
        <v>Jan</v>
      </c>
      <c r="S56" s="24" t="str">
        <f t="shared" si="5"/>
        <v>2024</v>
      </c>
    </row>
    <row r="57" spans="1:19" ht="15.6" x14ac:dyDescent="0.3">
      <c r="A57" s="4">
        <v>45312</v>
      </c>
      <c r="B57" s="5" t="s">
        <v>31</v>
      </c>
      <c r="C57" s="5" t="s">
        <v>27</v>
      </c>
      <c r="D57" s="5" t="s">
        <v>30</v>
      </c>
      <c r="E57" s="5" t="s">
        <v>33</v>
      </c>
      <c r="F57" s="5">
        <v>2387.81</v>
      </c>
      <c r="G57" s="5">
        <v>4006</v>
      </c>
      <c r="H57" s="5">
        <v>928</v>
      </c>
      <c r="I57" s="5">
        <v>9</v>
      </c>
      <c r="J57" s="5">
        <v>2618.35</v>
      </c>
      <c r="K57" s="5">
        <v>0.23169999999999999</v>
      </c>
      <c r="L57" s="5">
        <v>2.57</v>
      </c>
      <c r="M57" s="5">
        <v>9.6500000000000002E-2</v>
      </c>
      <c r="N57" s="3">
        <f t="shared" si="3"/>
        <v>9.6982758620689658E-3</v>
      </c>
      <c r="O57" s="5">
        <f>Table1[[#This Row],[Conversions-]]/Table1[[#This Row],[Clicks-]]*100</f>
        <v>0.96982758620689657</v>
      </c>
      <c r="P57" s="22">
        <f>SUM(Table1[Revenue-])/SUM(Table1[Spent])</f>
        <v>3.9916314247564531</v>
      </c>
      <c r="Q57" s="54">
        <f>Table1[[#This Row],[Revenue-]]-Table1[[#This Row],[Spent]]</f>
        <v>230.53999999999996</v>
      </c>
      <c r="R57" s="24" t="str">
        <f t="shared" si="4"/>
        <v>Jan</v>
      </c>
      <c r="S57" s="24" t="str">
        <f t="shared" si="5"/>
        <v>2024</v>
      </c>
    </row>
    <row r="58" spans="1:19" ht="15.6" x14ac:dyDescent="0.3">
      <c r="A58" s="1">
        <v>45319</v>
      </c>
      <c r="B58" s="2" t="s">
        <v>31</v>
      </c>
      <c r="C58" s="2" t="s">
        <v>25</v>
      </c>
      <c r="D58" s="2" t="s">
        <v>24</v>
      </c>
      <c r="E58" s="2" t="s">
        <v>22</v>
      </c>
      <c r="F58" s="2">
        <v>2547.39</v>
      </c>
      <c r="G58" s="2">
        <v>2428</v>
      </c>
      <c r="H58" s="2">
        <v>514</v>
      </c>
      <c r="I58" s="2">
        <v>31</v>
      </c>
      <c r="J58" s="2">
        <v>2195.2600000000002</v>
      </c>
      <c r="K58" s="2">
        <v>0.2117</v>
      </c>
      <c r="L58" s="2">
        <v>4.96</v>
      </c>
      <c r="M58" s="2">
        <v>-0.13819999999999999</v>
      </c>
      <c r="N58" s="3">
        <f t="shared" si="3"/>
        <v>6.0311284046692608E-2</v>
      </c>
      <c r="O58" s="5">
        <f>Table1[[#This Row],[Conversions-]]/Table1[[#This Row],[Clicks-]]*100</f>
        <v>6.0311284046692606</v>
      </c>
      <c r="P58" s="22">
        <f>SUM(Table1[Revenue-])/SUM(Table1[Spent])</f>
        <v>3.9916314247564531</v>
      </c>
      <c r="Q58" s="54">
        <f>Table1[[#This Row],[Revenue-]]-Table1[[#This Row],[Spent]]</f>
        <v>-352.12999999999965</v>
      </c>
      <c r="R58" s="24" t="str">
        <f t="shared" si="4"/>
        <v>Jan</v>
      </c>
      <c r="S58" s="24" t="str">
        <f t="shared" si="5"/>
        <v>2024</v>
      </c>
    </row>
    <row r="59" spans="1:19" ht="15.6" x14ac:dyDescent="0.3">
      <c r="A59" s="4">
        <v>45326</v>
      </c>
      <c r="B59" s="5" t="s">
        <v>23</v>
      </c>
      <c r="C59" s="5" t="s">
        <v>27</v>
      </c>
      <c r="D59" s="5" t="s">
        <v>21</v>
      </c>
      <c r="E59" s="5" t="s">
        <v>29</v>
      </c>
      <c r="F59" s="5">
        <v>3258.37</v>
      </c>
      <c r="G59" s="5">
        <v>6139</v>
      </c>
      <c r="H59" s="5">
        <v>843</v>
      </c>
      <c r="I59" s="5">
        <v>34</v>
      </c>
      <c r="J59" s="5">
        <v>16217.39</v>
      </c>
      <c r="K59" s="5">
        <v>0.13730000000000001</v>
      </c>
      <c r="L59" s="5">
        <v>3.87</v>
      </c>
      <c r="M59" s="5">
        <v>3.9771000000000001</v>
      </c>
      <c r="N59" s="3">
        <f t="shared" si="3"/>
        <v>4.0332147093712932E-2</v>
      </c>
      <c r="O59" s="5">
        <f>Table1[[#This Row],[Conversions-]]/Table1[[#This Row],[Clicks-]]*100</f>
        <v>4.0332147093712933</v>
      </c>
      <c r="P59" s="22">
        <f>SUM(Table1[Revenue-])/SUM(Table1[Spent])</f>
        <v>3.9916314247564531</v>
      </c>
      <c r="Q59" s="54">
        <f>Table1[[#This Row],[Revenue-]]-Table1[[#This Row],[Spent]]</f>
        <v>12959.02</v>
      </c>
      <c r="R59" s="24" t="str">
        <f t="shared" si="4"/>
        <v>Feb</v>
      </c>
      <c r="S59" s="24" t="str">
        <f t="shared" si="5"/>
        <v>2024</v>
      </c>
    </row>
    <row r="60" spans="1:19" ht="15.6" x14ac:dyDescent="0.3">
      <c r="A60" s="1">
        <v>45333</v>
      </c>
      <c r="B60" s="2" t="s">
        <v>19</v>
      </c>
      <c r="C60" s="2" t="s">
        <v>20</v>
      </c>
      <c r="D60" s="2" t="s">
        <v>30</v>
      </c>
      <c r="E60" s="2" t="s">
        <v>26</v>
      </c>
      <c r="F60" s="2">
        <v>3091.34</v>
      </c>
      <c r="G60" s="2">
        <v>4665</v>
      </c>
      <c r="H60" s="2">
        <v>150</v>
      </c>
      <c r="I60" s="2">
        <v>37</v>
      </c>
      <c r="J60" s="2">
        <v>18223.16</v>
      </c>
      <c r="K60" s="2">
        <v>3.2199999999999999E-2</v>
      </c>
      <c r="L60" s="2">
        <v>20.61</v>
      </c>
      <c r="M60" s="2">
        <v>4.8948999999999998</v>
      </c>
      <c r="N60" s="3">
        <f t="shared" si="3"/>
        <v>0.24666666666666667</v>
      </c>
      <c r="O60" s="5">
        <f>Table1[[#This Row],[Conversions-]]/Table1[[#This Row],[Clicks-]]*100</f>
        <v>24.666666666666668</v>
      </c>
      <c r="P60" s="22">
        <f>SUM(Table1[Revenue-])/SUM(Table1[Spent])</f>
        <v>3.9916314247564531</v>
      </c>
      <c r="Q60" s="54">
        <f>Table1[[#This Row],[Revenue-]]-Table1[[#This Row],[Spent]]</f>
        <v>15131.82</v>
      </c>
      <c r="R60" s="24" t="str">
        <f t="shared" si="4"/>
        <v>Feb</v>
      </c>
      <c r="S60" s="24" t="str">
        <f t="shared" si="5"/>
        <v>2024</v>
      </c>
    </row>
    <row r="61" spans="1:19" ht="15.6" x14ac:dyDescent="0.3">
      <c r="A61" s="4">
        <v>45340</v>
      </c>
      <c r="B61" s="5" t="s">
        <v>19</v>
      </c>
      <c r="C61" s="5" t="s">
        <v>27</v>
      </c>
      <c r="D61" s="5" t="s">
        <v>28</v>
      </c>
      <c r="E61" s="5" t="s">
        <v>22</v>
      </c>
      <c r="F61" s="5">
        <v>1761.01</v>
      </c>
      <c r="G61" s="5">
        <v>5688</v>
      </c>
      <c r="H61" s="5">
        <v>315</v>
      </c>
      <c r="I61" s="5">
        <v>21</v>
      </c>
      <c r="J61" s="5">
        <v>15528.62</v>
      </c>
      <c r="K61" s="5">
        <v>5.5399999999999998E-2</v>
      </c>
      <c r="L61" s="5">
        <v>5.59</v>
      </c>
      <c r="M61" s="5">
        <v>7.8179999999999996</v>
      </c>
      <c r="N61" s="3">
        <f t="shared" si="3"/>
        <v>6.6666666666666666E-2</v>
      </c>
      <c r="O61" s="5">
        <f>Table1[[#This Row],[Conversions-]]/Table1[[#This Row],[Clicks-]]*100</f>
        <v>6.666666666666667</v>
      </c>
      <c r="P61" s="22">
        <f>SUM(Table1[Revenue-])/SUM(Table1[Spent])</f>
        <v>3.9916314247564531</v>
      </c>
      <c r="Q61" s="54">
        <f>Table1[[#This Row],[Revenue-]]-Table1[[#This Row],[Spent]]</f>
        <v>13767.61</v>
      </c>
      <c r="R61" s="24" t="str">
        <f t="shared" si="4"/>
        <v>Feb</v>
      </c>
      <c r="S61" s="24" t="str">
        <f t="shared" si="5"/>
        <v>2024</v>
      </c>
    </row>
    <row r="62" spans="1:19" ht="15.6" x14ac:dyDescent="0.3">
      <c r="A62" s="1">
        <v>45347</v>
      </c>
      <c r="B62" s="2" t="s">
        <v>31</v>
      </c>
      <c r="C62" s="2" t="s">
        <v>27</v>
      </c>
      <c r="D62" s="2" t="s">
        <v>28</v>
      </c>
      <c r="E62" s="2" t="s">
        <v>22</v>
      </c>
      <c r="F62" s="2">
        <v>2712.51</v>
      </c>
      <c r="G62" s="2">
        <v>9938</v>
      </c>
      <c r="H62" s="2">
        <v>859</v>
      </c>
      <c r="I62" s="2">
        <v>2</v>
      </c>
      <c r="J62" s="2">
        <v>4735.08</v>
      </c>
      <c r="K62" s="2">
        <v>8.6400000000000005E-2</v>
      </c>
      <c r="L62" s="2">
        <v>3.16</v>
      </c>
      <c r="M62" s="2">
        <v>0.74560000000000004</v>
      </c>
      <c r="N62" s="3">
        <f t="shared" si="3"/>
        <v>2.3282887077997671E-3</v>
      </c>
      <c r="O62" s="5">
        <f>Table1[[#This Row],[Conversions-]]/Table1[[#This Row],[Clicks-]]*100</f>
        <v>0.23282887077997672</v>
      </c>
      <c r="P62" s="22">
        <f>SUM(Table1[Revenue-])/SUM(Table1[Spent])</f>
        <v>3.9916314247564531</v>
      </c>
      <c r="Q62" s="54">
        <f>Table1[[#This Row],[Revenue-]]-Table1[[#This Row],[Spent]]</f>
        <v>2022.5699999999997</v>
      </c>
      <c r="R62" s="24" t="str">
        <f t="shared" si="4"/>
        <v>Feb</v>
      </c>
      <c r="S62" s="24" t="str">
        <f t="shared" si="5"/>
        <v>2024</v>
      </c>
    </row>
    <row r="63" spans="1:19" ht="15.6" x14ac:dyDescent="0.3">
      <c r="A63" s="4">
        <v>45354</v>
      </c>
      <c r="B63" s="5" t="s">
        <v>34</v>
      </c>
      <c r="C63" s="5" t="s">
        <v>20</v>
      </c>
      <c r="D63" s="5" t="s">
        <v>28</v>
      </c>
      <c r="E63" s="5" t="s">
        <v>29</v>
      </c>
      <c r="F63" s="5">
        <v>1054.71</v>
      </c>
      <c r="G63" s="5">
        <v>7302</v>
      </c>
      <c r="H63" s="5">
        <v>670</v>
      </c>
      <c r="I63" s="5">
        <v>28</v>
      </c>
      <c r="J63" s="5">
        <v>15020.08</v>
      </c>
      <c r="K63" s="5">
        <v>9.1800000000000007E-2</v>
      </c>
      <c r="L63" s="5">
        <v>1.57</v>
      </c>
      <c r="M63" s="5">
        <v>13.241</v>
      </c>
      <c r="N63" s="3">
        <f t="shared" si="3"/>
        <v>4.1791044776119404E-2</v>
      </c>
      <c r="O63" s="5">
        <f>Table1[[#This Row],[Conversions-]]/Table1[[#This Row],[Clicks-]]*100</f>
        <v>4.1791044776119408</v>
      </c>
      <c r="P63" s="22">
        <f>SUM(Table1[Revenue-])/SUM(Table1[Spent])</f>
        <v>3.9916314247564531</v>
      </c>
      <c r="Q63" s="54">
        <f>Table1[[#This Row],[Revenue-]]-Table1[[#This Row],[Spent]]</f>
        <v>13965.369999999999</v>
      </c>
      <c r="R63" s="24" t="str">
        <f t="shared" si="4"/>
        <v>Mar</v>
      </c>
      <c r="S63" s="24" t="str">
        <f t="shared" si="5"/>
        <v>2024</v>
      </c>
    </row>
    <row r="64" spans="1:19" ht="15.6" x14ac:dyDescent="0.3">
      <c r="A64" s="1">
        <v>45361</v>
      </c>
      <c r="B64" s="2" t="s">
        <v>31</v>
      </c>
      <c r="C64" s="2" t="s">
        <v>20</v>
      </c>
      <c r="D64" s="2" t="s">
        <v>28</v>
      </c>
      <c r="E64" s="2" t="s">
        <v>33</v>
      </c>
      <c r="F64" s="2">
        <v>4080.86</v>
      </c>
      <c r="G64" s="2">
        <v>3958</v>
      </c>
      <c r="H64" s="2">
        <v>336</v>
      </c>
      <c r="I64" s="2">
        <v>20</v>
      </c>
      <c r="J64" s="2">
        <v>16097.73</v>
      </c>
      <c r="K64" s="2">
        <v>8.4900000000000003E-2</v>
      </c>
      <c r="L64" s="2">
        <v>12.15</v>
      </c>
      <c r="M64" s="2">
        <v>2.9447000000000001</v>
      </c>
      <c r="N64" s="3">
        <f t="shared" si="3"/>
        <v>5.9523809523809521E-2</v>
      </c>
      <c r="O64" s="5">
        <f>Table1[[#This Row],[Conversions-]]/Table1[[#This Row],[Clicks-]]*100</f>
        <v>5.9523809523809517</v>
      </c>
      <c r="P64" s="22">
        <f>SUM(Table1[Revenue-])/SUM(Table1[Spent])</f>
        <v>3.9916314247564531</v>
      </c>
      <c r="Q64" s="54">
        <f>Table1[[#This Row],[Revenue-]]-Table1[[#This Row],[Spent]]</f>
        <v>12016.869999999999</v>
      </c>
      <c r="R64" s="24" t="str">
        <f t="shared" si="4"/>
        <v>Mar</v>
      </c>
      <c r="S64" s="24" t="str">
        <f t="shared" si="5"/>
        <v>2024</v>
      </c>
    </row>
    <row r="65" spans="1:19" ht="15.6" x14ac:dyDescent="0.3">
      <c r="A65" s="4">
        <v>45368</v>
      </c>
      <c r="B65" s="5" t="s">
        <v>23</v>
      </c>
      <c r="C65" s="5" t="s">
        <v>20</v>
      </c>
      <c r="D65" s="5" t="s">
        <v>30</v>
      </c>
      <c r="E65" s="5" t="s">
        <v>33</v>
      </c>
      <c r="F65" s="5">
        <v>560.38</v>
      </c>
      <c r="G65" s="5">
        <v>9916</v>
      </c>
      <c r="H65" s="5">
        <v>916</v>
      </c>
      <c r="I65" s="5">
        <v>50</v>
      </c>
      <c r="J65" s="5">
        <v>9119.65</v>
      </c>
      <c r="K65" s="5">
        <v>9.2399999999999996E-2</v>
      </c>
      <c r="L65" s="5">
        <v>0.61</v>
      </c>
      <c r="M65" s="5">
        <v>15.273999999999999</v>
      </c>
      <c r="N65" s="3">
        <f t="shared" si="3"/>
        <v>5.458515283842795E-2</v>
      </c>
      <c r="O65" s="5">
        <f>Table1[[#This Row],[Conversions-]]/Table1[[#This Row],[Clicks-]]*100</f>
        <v>5.4585152838427948</v>
      </c>
      <c r="P65" s="22">
        <f>SUM(Table1[Revenue-])/SUM(Table1[Spent])</f>
        <v>3.9916314247564531</v>
      </c>
      <c r="Q65" s="54">
        <f>Table1[[#This Row],[Revenue-]]-Table1[[#This Row],[Spent]]</f>
        <v>8559.27</v>
      </c>
      <c r="R65" s="24" t="str">
        <f t="shared" si="4"/>
        <v>Mar</v>
      </c>
      <c r="S65" s="24" t="str">
        <f t="shared" si="5"/>
        <v>2024</v>
      </c>
    </row>
    <row r="66" spans="1:19" ht="15.6" x14ac:dyDescent="0.3">
      <c r="A66" s="1">
        <v>45375</v>
      </c>
      <c r="B66" s="2" t="s">
        <v>23</v>
      </c>
      <c r="C66" s="2" t="s">
        <v>27</v>
      </c>
      <c r="D66" s="2" t="s">
        <v>21</v>
      </c>
      <c r="E66" s="2" t="s">
        <v>26</v>
      </c>
      <c r="F66" s="2">
        <v>4938.96</v>
      </c>
      <c r="G66" s="2">
        <v>7697</v>
      </c>
      <c r="H66" s="2">
        <v>224</v>
      </c>
      <c r="I66" s="2">
        <v>4</v>
      </c>
      <c r="J66" s="2">
        <v>8729.93</v>
      </c>
      <c r="K66" s="2">
        <v>2.9100000000000001E-2</v>
      </c>
      <c r="L66" s="2">
        <v>22.05</v>
      </c>
      <c r="M66" s="2">
        <v>0.76759999999999995</v>
      </c>
      <c r="N66" s="3">
        <f t="shared" ref="N66:N101" si="6">I66/H66</f>
        <v>1.7857142857142856E-2</v>
      </c>
      <c r="O66" s="5">
        <f>Table1[[#This Row],[Conversions-]]/Table1[[#This Row],[Clicks-]]*100</f>
        <v>1.7857142857142856</v>
      </c>
      <c r="P66" s="22">
        <f>SUM(Table1[Revenue-])/SUM(Table1[Spent])</f>
        <v>3.9916314247564531</v>
      </c>
      <c r="Q66" s="54">
        <f>Table1[[#This Row],[Revenue-]]-Table1[[#This Row],[Spent]]</f>
        <v>3790.9700000000003</v>
      </c>
      <c r="R66" s="24" t="str">
        <f t="shared" ref="R66:R101" si="7">TEXT(A66,"mmm")</f>
        <v>Mar</v>
      </c>
      <c r="S66" s="24" t="str">
        <f t="shared" ref="S66:S101" si="8">TEXT(A66,"YYYY")</f>
        <v>2024</v>
      </c>
    </row>
    <row r="67" spans="1:19" ht="15.6" x14ac:dyDescent="0.3">
      <c r="A67" s="4">
        <v>45382</v>
      </c>
      <c r="B67" s="5" t="s">
        <v>34</v>
      </c>
      <c r="C67" s="5" t="s">
        <v>20</v>
      </c>
      <c r="D67" s="5" t="s">
        <v>28</v>
      </c>
      <c r="E67" s="5" t="s">
        <v>29</v>
      </c>
      <c r="F67" s="5">
        <v>2740.13</v>
      </c>
      <c r="G67" s="5">
        <v>1400</v>
      </c>
      <c r="H67" s="5">
        <v>384</v>
      </c>
      <c r="I67" s="5">
        <v>19</v>
      </c>
      <c r="J67" s="5">
        <v>15481.38</v>
      </c>
      <c r="K67" s="5">
        <v>0.27429999999999999</v>
      </c>
      <c r="L67" s="5">
        <v>7.14</v>
      </c>
      <c r="M67" s="5">
        <v>4.6498999999999997</v>
      </c>
      <c r="N67" s="3">
        <f t="shared" si="6"/>
        <v>4.9479166666666664E-2</v>
      </c>
      <c r="O67" s="5">
        <f>Table1[[#This Row],[Conversions-]]/Table1[[#This Row],[Clicks-]]*100</f>
        <v>4.9479166666666661</v>
      </c>
      <c r="P67" s="22">
        <f>SUM(Table1[Revenue-])/SUM(Table1[Spent])</f>
        <v>3.9916314247564531</v>
      </c>
      <c r="Q67" s="54">
        <f>Table1[[#This Row],[Revenue-]]-Table1[[#This Row],[Spent]]</f>
        <v>12741.25</v>
      </c>
      <c r="R67" s="24" t="str">
        <f t="shared" si="7"/>
        <v>Mar</v>
      </c>
      <c r="S67" s="24" t="str">
        <f t="shared" si="8"/>
        <v>2024</v>
      </c>
    </row>
    <row r="68" spans="1:19" ht="15.6" x14ac:dyDescent="0.3">
      <c r="A68" s="1">
        <v>45389</v>
      </c>
      <c r="B68" s="2" t="s">
        <v>31</v>
      </c>
      <c r="C68" s="2" t="s">
        <v>27</v>
      </c>
      <c r="D68" s="2" t="s">
        <v>21</v>
      </c>
      <c r="E68" s="2" t="s">
        <v>29</v>
      </c>
      <c r="F68" s="2">
        <v>2876.66</v>
      </c>
      <c r="G68" s="2">
        <v>1162</v>
      </c>
      <c r="H68" s="2">
        <v>939</v>
      </c>
      <c r="I68" s="2">
        <v>16</v>
      </c>
      <c r="J68" s="2">
        <v>8230.09</v>
      </c>
      <c r="K68" s="2">
        <v>0.80810000000000004</v>
      </c>
      <c r="L68" s="2">
        <v>3.06</v>
      </c>
      <c r="M68" s="2">
        <v>1.861</v>
      </c>
      <c r="N68" s="3">
        <f t="shared" si="6"/>
        <v>1.7039403620873271E-2</v>
      </c>
      <c r="O68" s="5">
        <f>Table1[[#This Row],[Conversions-]]/Table1[[#This Row],[Clicks-]]*100</f>
        <v>1.703940362087327</v>
      </c>
      <c r="P68" s="22">
        <f>SUM(Table1[Revenue-])/SUM(Table1[Spent])</f>
        <v>3.9916314247564531</v>
      </c>
      <c r="Q68" s="54">
        <f>Table1[[#This Row],[Revenue-]]-Table1[[#This Row],[Spent]]</f>
        <v>5353.43</v>
      </c>
      <c r="R68" s="24" t="str">
        <f t="shared" si="7"/>
        <v>Apr</v>
      </c>
      <c r="S68" s="24" t="str">
        <f t="shared" si="8"/>
        <v>2024</v>
      </c>
    </row>
    <row r="69" spans="1:19" ht="15.6" x14ac:dyDescent="0.3">
      <c r="A69" s="4">
        <v>45396</v>
      </c>
      <c r="B69" s="5" t="s">
        <v>31</v>
      </c>
      <c r="C69" s="5" t="s">
        <v>32</v>
      </c>
      <c r="D69" s="5" t="s">
        <v>24</v>
      </c>
      <c r="E69" s="5" t="s">
        <v>29</v>
      </c>
      <c r="F69" s="5">
        <v>4378.21</v>
      </c>
      <c r="G69" s="5">
        <v>1137</v>
      </c>
      <c r="H69" s="5">
        <v>941</v>
      </c>
      <c r="I69" s="5">
        <v>35</v>
      </c>
      <c r="J69" s="5">
        <v>5826.28</v>
      </c>
      <c r="K69" s="5">
        <v>0.8276</v>
      </c>
      <c r="L69" s="5">
        <v>4.6500000000000004</v>
      </c>
      <c r="M69" s="5">
        <v>0.33069999999999999</v>
      </c>
      <c r="N69" s="3">
        <f t="shared" si="6"/>
        <v>3.7194473963868227E-2</v>
      </c>
      <c r="O69" s="5">
        <f>Table1[[#This Row],[Conversions-]]/Table1[[#This Row],[Clicks-]]*100</f>
        <v>3.7194473963868226</v>
      </c>
      <c r="P69" s="22">
        <f>SUM(Table1[Revenue-])/SUM(Table1[Spent])</f>
        <v>3.9916314247564531</v>
      </c>
      <c r="Q69" s="54">
        <f>Table1[[#This Row],[Revenue-]]-Table1[[#This Row],[Spent]]</f>
        <v>1448.0699999999997</v>
      </c>
      <c r="R69" s="24" t="str">
        <f t="shared" si="7"/>
        <v>Apr</v>
      </c>
      <c r="S69" s="24" t="str">
        <f t="shared" si="8"/>
        <v>2024</v>
      </c>
    </row>
    <row r="70" spans="1:19" ht="15.6" x14ac:dyDescent="0.3">
      <c r="A70" s="1">
        <v>45403</v>
      </c>
      <c r="B70" s="2" t="s">
        <v>34</v>
      </c>
      <c r="C70" s="2" t="s">
        <v>25</v>
      </c>
      <c r="D70" s="2" t="s">
        <v>28</v>
      </c>
      <c r="E70" s="2" t="s">
        <v>29</v>
      </c>
      <c r="F70" s="2">
        <v>4941.79</v>
      </c>
      <c r="G70" s="2">
        <v>7902</v>
      </c>
      <c r="H70" s="2">
        <v>141</v>
      </c>
      <c r="I70" s="2">
        <v>38</v>
      </c>
      <c r="J70" s="2">
        <v>13406.82</v>
      </c>
      <c r="K70" s="2">
        <v>1.78E-2</v>
      </c>
      <c r="L70" s="2">
        <v>35.049999999999997</v>
      </c>
      <c r="M70" s="2">
        <v>1.7129000000000001</v>
      </c>
      <c r="N70" s="3">
        <f t="shared" si="6"/>
        <v>0.26950354609929078</v>
      </c>
      <c r="O70" s="5">
        <f>Table1[[#This Row],[Conversions-]]/Table1[[#This Row],[Clicks-]]*100</f>
        <v>26.950354609929079</v>
      </c>
      <c r="P70" s="22">
        <f>SUM(Table1[Revenue-])/SUM(Table1[Spent])</f>
        <v>3.9916314247564531</v>
      </c>
      <c r="Q70" s="54">
        <f>Table1[[#This Row],[Revenue-]]-Table1[[#This Row],[Spent]]</f>
        <v>8465.0299999999988</v>
      </c>
      <c r="R70" s="24" t="str">
        <f t="shared" si="7"/>
        <v>Apr</v>
      </c>
      <c r="S70" s="24" t="str">
        <f t="shared" si="8"/>
        <v>2024</v>
      </c>
    </row>
    <row r="71" spans="1:19" ht="15.6" x14ac:dyDescent="0.3">
      <c r="A71" s="4">
        <v>45410</v>
      </c>
      <c r="B71" s="5" t="s">
        <v>23</v>
      </c>
      <c r="C71" s="5" t="s">
        <v>27</v>
      </c>
      <c r="D71" s="5" t="s">
        <v>21</v>
      </c>
      <c r="E71" s="5" t="s">
        <v>29</v>
      </c>
      <c r="F71" s="5">
        <v>1376.02</v>
      </c>
      <c r="G71" s="5">
        <v>4872</v>
      </c>
      <c r="H71" s="5">
        <v>922</v>
      </c>
      <c r="I71" s="5">
        <v>40</v>
      </c>
      <c r="J71" s="5">
        <v>6238.04</v>
      </c>
      <c r="K71" s="5">
        <v>0.18920000000000001</v>
      </c>
      <c r="L71" s="5">
        <v>1.49</v>
      </c>
      <c r="M71" s="5">
        <v>3.5333999999999999</v>
      </c>
      <c r="N71" s="3">
        <f t="shared" si="6"/>
        <v>4.3383947939262472E-2</v>
      </c>
      <c r="O71" s="5">
        <f>Table1[[#This Row],[Conversions-]]/Table1[[#This Row],[Clicks-]]*100</f>
        <v>4.3383947939262475</v>
      </c>
      <c r="P71" s="22">
        <f>SUM(Table1[Revenue-])/SUM(Table1[Spent])</f>
        <v>3.9916314247564531</v>
      </c>
      <c r="Q71" s="54">
        <f>Table1[[#This Row],[Revenue-]]-Table1[[#This Row],[Spent]]</f>
        <v>4862.0200000000004</v>
      </c>
      <c r="R71" s="24" t="str">
        <f t="shared" si="7"/>
        <v>Apr</v>
      </c>
      <c r="S71" s="24" t="str">
        <f t="shared" si="8"/>
        <v>2024</v>
      </c>
    </row>
    <row r="72" spans="1:19" ht="15.6" x14ac:dyDescent="0.3">
      <c r="A72" s="1">
        <v>45417</v>
      </c>
      <c r="B72" s="2" t="s">
        <v>19</v>
      </c>
      <c r="C72" s="2" t="s">
        <v>27</v>
      </c>
      <c r="D72" s="2" t="s">
        <v>30</v>
      </c>
      <c r="E72" s="2" t="s">
        <v>33</v>
      </c>
      <c r="F72" s="2">
        <v>3324.53</v>
      </c>
      <c r="G72" s="2">
        <v>7993</v>
      </c>
      <c r="H72" s="2">
        <v>377</v>
      </c>
      <c r="I72" s="2">
        <v>42</v>
      </c>
      <c r="J72" s="2">
        <v>8491.86</v>
      </c>
      <c r="K72" s="2">
        <v>4.7199999999999999E-2</v>
      </c>
      <c r="L72" s="2">
        <v>8.82</v>
      </c>
      <c r="M72" s="2">
        <v>1.5543</v>
      </c>
      <c r="N72" s="3">
        <f t="shared" si="6"/>
        <v>0.11140583554376658</v>
      </c>
      <c r="O72" s="5">
        <f>Table1[[#This Row],[Conversions-]]/Table1[[#This Row],[Clicks-]]*100</f>
        <v>11.140583554376658</v>
      </c>
      <c r="P72" s="22">
        <f>SUM(Table1[Revenue-])/SUM(Table1[Spent])</f>
        <v>3.9916314247564531</v>
      </c>
      <c r="Q72" s="54">
        <f>Table1[[#This Row],[Revenue-]]-Table1[[#This Row],[Spent]]</f>
        <v>5167.33</v>
      </c>
      <c r="R72" s="24" t="str">
        <f t="shared" si="7"/>
        <v>May</v>
      </c>
      <c r="S72" s="24" t="str">
        <f t="shared" si="8"/>
        <v>2024</v>
      </c>
    </row>
    <row r="73" spans="1:19" ht="15.6" x14ac:dyDescent="0.3">
      <c r="A73" s="4">
        <v>45424</v>
      </c>
      <c r="B73" s="5" t="s">
        <v>19</v>
      </c>
      <c r="C73" s="5" t="s">
        <v>25</v>
      </c>
      <c r="D73" s="5" t="s">
        <v>24</v>
      </c>
      <c r="E73" s="5" t="s">
        <v>29</v>
      </c>
      <c r="F73" s="5">
        <v>2318.27</v>
      </c>
      <c r="G73" s="5">
        <v>3481</v>
      </c>
      <c r="H73" s="5">
        <v>688</v>
      </c>
      <c r="I73" s="5">
        <v>26</v>
      </c>
      <c r="J73" s="5">
        <v>2667.33</v>
      </c>
      <c r="K73" s="5">
        <v>0.1976</v>
      </c>
      <c r="L73" s="5">
        <v>3.37</v>
      </c>
      <c r="M73" s="5">
        <v>0.15060000000000001</v>
      </c>
      <c r="N73" s="3">
        <f t="shared" si="6"/>
        <v>3.7790697674418602E-2</v>
      </c>
      <c r="O73" s="5">
        <f>Table1[[#This Row],[Conversions-]]/Table1[[#This Row],[Clicks-]]*100</f>
        <v>3.7790697674418601</v>
      </c>
      <c r="P73" s="22">
        <f>SUM(Table1[Revenue-])/SUM(Table1[Spent])</f>
        <v>3.9916314247564531</v>
      </c>
      <c r="Q73" s="54">
        <f>Table1[[#This Row],[Revenue-]]-Table1[[#This Row],[Spent]]</f>
        <v>349.05999999999995</v>
      </c>
      <c r="R73" s="24" t="str">
        <f t="shared" si="7"/>
        <v>May</v>
      </c>
      <c r="S73" s="24" t="str">
        <f t="shared" si="8"/>
        <v>2024</v>
      </c>
    </row>
    <row r="74" spans="1:19" ht="15.6" x14ac:dyDescent="0.3">
      <c r="A74" s="1">
        <v>45431</v>
      </c>
      <c r="B74" s="2" t="s">
        <v>23</v>
      </c>
      <c r="C74" s="2" t="s">
        <v>20</v>
      </c>
      <c r="D74" s="2" t="s">
        <v>28</v>
      </c>
      <c r="E74" s="2" t="s">
        <v>22</v>
      </c>
      <c r="F74" s="2">
        <v>2417.89</v>
      </c>
      <c r="G74" s="2">
        <v>8982</v>
      </c>
      <c r="H74" s="2">
        <v>282</v>
      </c>
      <c r="I74" s="2">
        <v>29</v>
      </c>
      <c r="J74" s="2">
        <v>10829.6</v>
      </c>
      <c r="K74" s="2">
        <v>3.1399999999999997E-2</v>
      </c>
      <c r="L74" s="2">
        <v>8.57</v>
      </c>
      <c r="M74" s="2">
        <v>3.4788999999999999</v>
      </c>
      <c r="N74" s="3">
        <f t="shared" si="6"/>
        <v>0.10283687943262411</v>
      </c>
      <c r="O74" s="5">
        <f>Table1[[#This Row],[Conversions-]]/Table1[[#This Row],[Clicks-]]*100</f>
        <v>10.283687943262411</v>
      </c>
      <c r="P74" s="22">
        <f>SUM(Table1[Revenue-])/SUM(Table1[Spent])</f>
        <v>3.9916314247564531</v>
      </c>
      <c r="Q74" s="54">
        <f>Table1[[#This Row],[Revenue-]]-Table1[[#This Row],[Spent]]</f>
        <v>8411.7100000000009</v>
      </c>
      <c r="R74" s="24" t="str">
        <f t="shared" si="7"/>
        <v>May</v>
      </c>
      <c r="S74" s="24" t="str">
        <f t="shared" si="8"/>
        <v>2024</v>
      </c>
    </row>
    <row r="75" spans="1:19" ht="15.6" x14ac:dyDescent="0.3">
      <c r="A75" s="4">
        <v>45438</v>
      </c>
      <c r="B75" s="5" t="s">
        <v>19</v>
      </c>
      <c r="C75" s="5" t="s">
        <v>32</v>
      </c>
      <c r="D75" s="5" t="s">
        <v>21</v>
      </c>
      <c r="E75" s="5" t="s">
        <v>33</v>
      </c>
      <c r="F75" s="5">
        <v>610.83000000000004</v>
      </c>
      <c r="G75" s="5">
        <v>5841</v>
      </c>
      <c r="H75" s="5">
        <v>357</v>
      </c>
      <c r="I75" s="5">
        <v>45</v>
      </c>
      <c r="J75" s="5">
        <v>1134.52</v>
      </c>
      <c r="K75" s="5">
        <v>6.1100000000000002E-2</v>
      </c>
      <c r="L75" s="5">
        <v>1.71</v>
      </c>
      <c r="M75" s="5">
        <v>0.85729999999999995</v>
      </c>
      <c r="N75" s="3">
        <f t="shared" si="6"/>
        <v>0.12605042016806722</v>
      </c>
      <c r="O75" s="5">
        <f>Table1[[#This Row],[Conversions-]]/Table1[[#This Row],[Clicks-]]*100</f>
        <v>12.605042016806722</v>
      </c>
      <c r="P75" s="22">
        <f>SUM(Table1[Revenue-])/SUM(Table1[Spent])</f>
        <v>3.9916314247564531</v>
      </c>
      <c r="Q75" s="54">
        <f>Table1[[#This Row],[Revenue-]]-Table1[[#This Row],[Spent]]</f>
        <v>523.68999999999994</v>
      </c>
      <c r="R75" s="24" t="str">
        <f t="shared" si="7"/>
        <v>May</v>
      </c>
      <c r="S75" s="24" t="str">
        <f t="shared" si="8"/>
        <v>2024</v>
      </c>
    </row>
    <row r="76" spans="1:19" ht="15.6" x14ac:dyDescent="0.3">
      <c r="A76" s="1">
        <v>45445</v>
      </c>
      <c r="B76" s="2" t="s">
        <v>23</v>
      </c>
      <c r="C76" s="2" t="s">
        <v>20</v>
      </c>
      <c r="D76" s="2" t="s">
        <v>21</v>
      </c>
      <c r="E76" s="2" t="s">
        <v>26</v>
      </c>
      <c r="F76" s="2">
        <v>1203.33</v>
      </c>
      <c r="G76" s="2">
        <v>5425</v>
      </c>
      <c r="H76" s="2">
        <v>764</v>
      </c>
      <c r="I76" s="2">
        <v>36</v>
      </c>
      <c r="J76" s="2">
        <v>2873.42</v>
      </c>
      <c r="K76" s="2">
        <v>0.14080000000000001</v>
      </c>
      <c r="L76" s="2">
        <v>1.58</v>
      </c>
      <c r="M76" s="2">
        <v>1.3878999999999999</v>
      </c>
      <c r="N76" s="3">
        <f t="shared" si="6"/>
        <v>4.712041884816754E-2</v>
      </c>
      <c r="O76" s="5">
        <f>Table1[[#This Row],[Conversions-]]/Table1[[#This Row],[Clicks-]]*100</f>
        <v>4.7120418848167542</v>
      </c>
      <c r="P76" s="22">
        <f>SUM(Table1[Revenue-])/SUM(Table1[Spent])</f>
        <v>3.9916314247564531</v>
      </c>
      <c r="Q76" s="54">
        <f>Table1[[#This Row],[Revenue-]]-Table1[[#This Row],[Spent]]</f>
        <v>1670.0900000000001</v>
      </c>
      <c r="R76" s="24" t="str">
        <f t="shared" si="7"/>
        <v>Jun</v>
      </c>
      <c r="S76" s="24" t="str">
        <f t="shared" si="8"/>
        <v>2024</v>
      </c>
    </row>
    <row r="77" spans="1:19" ht="15.6" x14ac:dyDescent="0.3">
      <c r="A77" s="4">
        <v>45452</v>
      </c>
      <c r="B77" s="5" t="s">
        <v>23</v>
      </c>
      <c r="C77" s="5" t="s">
        <v>32</v>
      </c>
      <c r="D77" s="5" t="s">
        <v>21</v>
      </c>
      <c r="E77" s="5" t="s">
        <v>29</v>
      </c>
      <c r="F77" s="5">
        <v>1532.29</v>
      </c>
      <c r="G77" s="5">
        <v>8742</v>
      </c>
      <c r="H77" s="5">
        <v>635</v>
      </c>
      <c r="I77" s="5">
        <v>20</v>
      </c>
      <c r="J77" s="5">
        <v>5409.03</v>
      </c>
      <c r="K77" s="5">
        <v>7.2599999999999998E-2</v>
      </c>
      <c r="L77" s="5">
        <v>2.41</v>
      </c>
      <c r="M77" s="5">
        <v>2.5299999999999998</v>
      </c>
      <c r="N77" s="3">
        <f t="shared" si="6"/>
        <v>3.1496062992125984E-2</v>
      </c>
      <c r="O77" s="5">
        <f>Table1[[#This Row],[Conversions-]]/Table1[[#This Row],[Clicks-]]*100</f>
        <v>3.1496062992125982</v>
      </c>
      <c r="P77" s="22">
        <f>SUM(Table1[Revenue-])/SUM(Table1[Spent])</f>
        <v>3.9916314247564531</v>
      </c>
      <c r="Q77" s="54">
        <f>Table1[[#This Row],[Revenue-]]-Table1[[#This Row],[Spent]]</f>
        <v>3876.74</v>
      </c>
      <c r="R77" s="24" t="str">
        <f t="shared" si="7"/>
        <v>Jun</v>
      </c>
      <c r="S77" s="24" t="str">
        <f t="shared" si="8"/>
        <v>2024</v>
      </c>
    </row>
    <row r="78" spans="1:19" ht="15.6" x14ac:dyDescent="0.3">
      <c r="A78" s="1">
        <v>45459</v>
      </c>
      <c r="B78" s="2" t="s">
        <v>23</v>
      </c>
      <c r="C78" s="2" t="s">
        <v>25</v>
      </c>
      <c r="D78" s="2" t="s">
        <v>21</v>
      </c>
      <c r="E78" s="2" t="s">
        <v>29</v>
      </c>
      <c r="F78" s="2">
        <v>3114.54</v>
      </c>
      <c r="G78" s="2">
        <v>7818</v>
      </c>
      <c r="H78" s="2">
        <v>441</v>
      </c>
      <c r="I78" s="2">
        <v>39</v>
      </c>
      <c r="J78" s="2">
        <v>7945.99</v>
      </c>
      <c r="K78" s="2">
        <v>5.6399999999999999E-2</v>
      </c>
      <c r="L78" s="2">
        <v>7.06</v>
      </c>
      <c r="M78" s="2">
        <v>1.5512999999999999</v>
      </c>
      <c r="N78" s="3">
        <f t="shared" si="6"/>
        <v>8.8435374149659865E-2</v>
      </c>
      <c r="O78" s="5">
        <f>Table1[[#This Row],[Conversions-]]/Table1[[#This Row],[Clicks-]]*100</f>
        <v>8.8435374149659864</v>
      </c>
      <c r="P78" s="22">
        <f>SUM(Table1[Revenue-])/SUM(Table1[Spent])</f>
        <v>3.9916314247564531</v>
      </c>
      <c r="Q78" s="54">
        <f>Table1[[#This Row],[Revenue-]]-Table1[[#This Row],[Spent]]</f>
        <v>4831.45</v>
      </c>
      <c r="R78" s="24" t="str">
        <f t="shared" si="7"/>
        <v>Jun</v>
      </c>
      <c r="S78" s="24" t="str">
        <f t="shared" si="8"/>
        <v>2024</v>
      </c>
    </row>
    <row r="79" spans="1:19" ht="15.6" x14ac:dyDescent="0.3">
      <c r="A79" s="4">
        <v>45466</v>
      </c>
      <c r="B79" s="5" t="s">
        <v>19</v>
      </c>
      <c r="C79" s="5" t="s">
        <v>32</v>
      </c>
      <c r="D79" s="5" t="s">
        <v>24</v>
      </c>
      <c r="E79" s="5" t="s">
        <v>29</v>
      </c>
      <c r="F79" s="5">
        <v>1321.6</v>
      </c>
      <c r="G79" s="5">
        <v>1888</v>
      </c>
      <c r="H79" s="5">
        <v>203</v>
      </c>
      <c r="I79" s="5">
        <v>41</v>
      </c>
      <c r="J79" s="5">
        <v>5218.2700000000004</v>
      </c>
      <c r="K79" s="5">
        <v>0.1075</v>
      </c>
      <c r="L79" s="5">
        <v>6.51</v>
      </c>
      <c r="M79" s="5">
        <v>2.9483999999999999</v>
      </c>
      <c r="N79" s="3">
        <f t="shared" si="6"/>
        <v>0.2019704433497537</v>
      </c>
      <c r="O79" s="5">
        <f>Table1[[#This Row],[Conversions-]]/Table1[[#This Row],[Clicks-]]*100</f>
        <v>20.19704433497537</v>
      </c>
      <c r="P79" s="22">
        <f>SUM(Table1[Revenue-])/SUM(Table1[Spent])</f>
        <v>3.9916314247564531</v>
      </c>
      <c r="Q79" s="54">
        <f>Table1[[#This Row],[Revenue-]]-Table1[[#This Row],[Spent]]</f>
        <v>3896.6700000000005</v>
      </c>
      <c r="R79" s="24" t="str">
        <f t="shared" si="7"/>
        <v>Jun</v>
      </c>
      <c r="S79" s="24" t="str">
        <f t="shared" si="8"/>
        <v>2024</v>
      </c>
    </row>
    <row r="80" spans="1:19" ht="15.6" x14ac:dyDescent="0.3">
      <c r="A80" s="1">
        <v>45473</v>
      </c>
      <c r="B80" s="2" t="s">
        <v>19</v>
      </c>
      <c r="C80" s="2" t="s">
        <v>27</v>
      </c>
      <c r="D80" s="2" t="s">
        <v>30</v>
      </c>
      <c r="E80" s="2" t="s">
        <v>22</v>
      </c>
      <c r="F80" s="2">
        <v>2383.64</v>
      </c>
      <c r="G80" s="2">
        <v>3052</v>
      </c>
      <c r="H80" s="2">
        <v>287</v>
      </c>
      <c r="I80" s="2">
        <v>36</v>
      </c>
      <c r="J80" s="2">
        <v>3515.7</v>
      </c>
      <c r="K80" s="2">
        <v>9.4E-2</v>
      </c>
      <c r="L80" s="2">
        <v>8.31</v>
      </c>
      <c r="M80" s="2">
        <v>0.47489999999999999</v>
      </c>
      <c r="N80" s="3">
        <f t="shared" si="6"/>
        <v>0.12543554006968641</v>
      </c>
      <c r="O80" s="5">
        <f>Table1[[#This Row],[Conversions-]]/Table1[[#This Row],[Clicks-]]*100</f>
        <v>12.543554006968641</v>
      </c>
      <c r="P80" s="22">
        <f>SUM(Table1[Revenue-])/SUM(Table1[Spent])</f>
        <v>3.9916314247564531</v>
      </c>
      <c r="Q80" s="54">
        <f>Table1[[#This Row],[Revenue-]]-Table1[[#This Row],[Spent]]</f>
        <v>1132.06</v>
      </c>
      <c r="R80" s="24" t="str">
        <f t="shared" si="7"/>
        <v>Jun</v>
      </c>
      <c r="S80" s="24" t="str">
        <f t="shared" si="8"/>
        <v>2024</v>
      </c>
    </row>
    <row r="81" spans="1:19" ht="15.6" x14ac:dyDescent="0.3">
      <c r="A81" s="4">
        <v>45480</v>
      </c>
      <c r="B81" s="5" t="s">
        <v>23</v>
      </c>
      <c r="C81" s="5" t="s">
        <v>27</v>
      </c>
      <c r="D81" s="5" t="s">
        <v>21</v>
      </c>
      <c r="E81" s="5" t="s">
        <v>22</v>
      </c>
      <c r="F81" s="5">
        <v>4165.55</v>
      </c>
      <c r="G81" s="5">
        <v>5640</v>
      </c>
      <c r="H81" s="5">
        <v>532</v>
      </c>
      <c r="I81" s="5">
        <v>22</v>
      </c>
      <c r="J81" s="5">
        <v>8609.61</v>
      </c>
      <c r="K81" s="5">
        <v>9.4299999999999995E-2</v>
      </c>
      <c r="L81" s="5">
        <v>7.83</v>
      </c>
      <c r="M81" s="5">
        <v>1.0669</v>
      </c>
      <c r="N81" s="3">
        <f t="shared" si="6"/>
        <v>4.1353383458646614E-2</v>
      </c>
      <c r="O81" s="5">
        <f>Table1[[#This Row],[Conversions-]]/Table1[[#This Row],[Clicks-]]*100</f>
        <v>4.1353383458646613</v>
      </c>
      <c r="P81" s="22">
        <f>SUM(Table1[Revenue-])/SUM(Table1[Spent])</f>
        <v>3.9916314247564531</v>
      </c>
      <c r="Q81" s="54">
        <f>Table1[[#This Row],[Revenue-]]-Table1[[#This Row],[Spent]]</f>
        <v>4444.0600000000004</v>
      </c>
      <c r="R81" s="24" t="str">
        <f t="shared" si="7"/>
        <v>Jul</v>
      </c>
      <c r="S81" s="24" t="str">
        <f t="shared" si="8"/>
        <v>2024</v>
      </c>
    </row>
    <row r="82" spans="1:19" ht="15.6" x14ac:dyDescent="0.3">
      <c r="A82" s="1">
        <v>45487</v>
      </c>
      <c r="B82" s="2" t="s">
        <v>19</v>
      </c>
      <c r="C82" s="2" t="s">
        <v>32</v>
      </c>
      <c r="D82" s="2" t="s">
        <v>24</v>
      </c>
      <c r="E82" s="2" t="s">
        <v>22</v>
      </c>
      <c r="F82" s="2">
        <v>3637.12</v>
      </c>
      <c r="G82" s="2">
        <v>7365</v>
      </c>
      <c r="H82" s="2">
        <v>709</v>
      </c>
      <c r="I82" s="2">
        <v>12</v>
      </c>
      <c r="J82" s="2">
        <v>9941.1200000000008</v>
      </c>
      <c r="K82" s="2">
        <v>9.6299999999999997E-2</v>
      </c>
      <c r="L82" s="2">
        <v>5.13</v>
      </c>
      <c r="M82" s="2">
        <v>1.7332000000000001</v>
      </c>
      <c r="N82" s="3">
        <f t="shared" si="6"/>
        <v>1.6925246826516221E-2</v>
      </c>
      <c r="O82" s="5">
        <f>Table1[[#This Row],[Conversions-]]/Table1[[#This Row],[Clicks-]]*100</f>
        <v>1.692524682651622</v>
      </c>
      <c r="P82" s="22">
        <f>SUM(Table1[Revenue-])/SUM(Table1[Spent])</f>
        <v>3.9916314247564531</v>
      </c>
      <c r="Q82" s="54">
        <f>Table1[[#This Row],[Revenue-]]-Table1[[#This Row],[Spent]]</f>
        <v>6304.0000000000009</v>
      </c>
      <c r="R82" s="24" t="str">
        <f t="shared" si="7"/>
        <v>Jul</v>
      </c>
      <c r="S82" s="24" t="str">
        <f t="shared" si="8"/>
        <v>2024</v>
      </c>
    </row>
    <row r="83" spans="1:19" ht="15.6" x14ac:dyDescent="0.3">
      <c r="A83" s="4">
        <v>45494</v>
      </c>
      <c r="B83" s="5" t="s">
        <v>34</v>
      </c>
      <c r="C83" s="5" t="s">
        <v>27</v>
      </c>
      <c r="D83" s="5" t="s">
        <v>28</v>
      </c>
      <c r="E83" s="5" t="s">
        <v>22</v>
      </c>
      <c r="F83" s="5">
        <v>4462.95</v>
      </c>
      <c r="G83" s="5">
        <v>6323</v>
      </c>
      <c r="H83" s="5">
        <v>504</v>
      </c>
      <c r="I83" s="5">
        <v>25</v>
      </c>
      <c r="J83" s="5">
        <v>15075.84</v>
      </c>
      <c r="K83" s="5">
        <v>7.9699999999999993E-2</v>
      </c>
      <c r="L83" s="5">
        <v>8.86</v>
      </c>
      <c r="M83" s="5">
        <v>2.3780000000000001</v>
      </c>
      <c r="N83" s="3">
        <f t="shared" si="6"/>
        <v>4.96031746031746E-2</v>
      </c>
      <c r="O83" s="5">
        <f>Table1[[#This Row],[Conversions-]]/Table1[[#This Row],[Clicks-]]*100</f>
        <v>4.9603174603174605</v>
      </c>
      <c r="P83" s="22">
        <f>SUM(Table1[Revenue-])/SUM(Table1[Spent])</f>
        <v>3.9916314247564531</v>
      </c>
      <c r="Q83" s="54">
        <f>Table1[[#This Row],[Revenue-]]-Table1[[#This Row],[Spent]]</f>
        <v>10612.89</v>
      </c>
      <c r="R83" s="24" t="str">
        <f t="shared" si="7"/>
        <v>Jul</v>
      </c>
      <c r="S83" s="24" t="str">
        <f t="shared" si="8"/>
        <v>2024</v>
      </c>
    </row>
    <row r="84" spans="1:19" ht="15.6" x14ac:dyDescent="0.3">
      <c r="A84" s="1">
        <v>45501</v>
      </c>
      <c r="B84" s="2" t="s">
        <v>19</v>
      </c>
      <c r="C84" s="2" t="s">
        <v>20</v>
      </c>
      <c r="D84" s="2" t="s">
        <v>24</v>
      </c>
      <c r="E84" s="2" t="s">
        <v>26</v>
      </c>
      <c r="F84" s="2">
        <v>2009.35</v>
      </c>
      <c r="G84" s="2">
        <v>1147</v>
      </c>
      <c r="H84" s="2">
        <v>543</v>
      </c>
      <c r="I84" s="2">
        <v>16</v>
      </c>
      <c r="J84" s="2">
        <v>16548.38</v>
      </c>
      <c r="K84" s="2">
        <v>0.47339999999999999</v>
      </c>
      <c r="L84" s="2">
        <v>3.7</v>
      </c>
      <c r="M84" s="2">
        <v>7.2356999999999996</v>
      </c>
      <c r="N84" s="3">
        <f t="shared" si="6"/>
        <v>2.9465930018416207E-2</v>
      </c>
      <c r="O84" s="5">
        <f>Table1[[#This Row],[Conversions-]]/Table1[[#This Row],[Clicks-]]*100</f>
        <v>2.9465930018416207</v>
      </c>
      <c r="P84" s="22">
        <f>SUM(Table1[Revenue-])/SUM(Table1[Spent])</f>
        <v>3.9916314247564531</v>
      </c>
      <c r="Q84" s="54">
        <f>Table1[[#This Row],[Revenue-]]-Table1[[#This Row],[Spent]]</f>
        <v>14539.03</v>
      </c>
      <c r="R84" s="24" t="str">
        <f t="shared" si="7"/>
        <v>Jul</v>
      </c>
      <c r="S84" s="24" t="str">
        <f t="shared" si="8"/>
        <v>2024</v>
      </c>
    </row>
    <row r="85" spans="1:19" ht="15.6" x14ac:dyDescent="0.3">
      <c r="A85" s="4">
        <v>45508</v>
      </c>
      <c r="B85" s="5" t="s">
        <v>19</v>
      </c>
      <c r="C85" s="5" t="s">
        <v>27</v>
      </c>
      <c r="D85" s="5" t="s">
        <v>30</v>
      </c>
      <c r="E85" s="5" t="s">
        <v>29</v>
      </c>
      <c r="F85" s="5">
        <v>3950.09</v>
      </c>
      <c r="G85" s="5">
        <v>8663</v>
      </c>
      <c r="H85" s="5">
        <v>227</v>
      </c>
      <c r="I85" s="5">
        <v>43</v>
      </c>
      <c r="J85" s="5">
        <v>9338.99</v>
      </c>
      <c r="K85" s="5">
        <v>2.6200000000000001E-2</v>
      </c>
      <c r="L85" s="5">
        <v>17.399999999999999</v>
      </c>
      <c r="M85" s="5">
        <v>1.3642000000000001</v>
      </c>
      <c r="N85" s="3">
        <f t="shared" si="6"/>
        <v>0.1894273127753304</v>
      </c>
      <c r="O85" s="5">
        <f>Table1[[#This Row],[Conversions-]]/Table1[[#This Row],[Clicks-]]*100</f>
        <v>18.942731277533039</v>
      </c>
      <c r="P85" s="22">
        <f>SUM(Table1[Revenue-])/SUM(Table1[Spent])</f>
        <v>3.9916314247564531</v>
      </c>
      <c r="Q85" s="54">
        <f>Table1[[#This Row],[Revenue-]]-Table1[[#This Row],[Spent]]</f>
        <v>5388.9</v>
      </c>
      <c r="R85" s="24" t="str">
        <f t="shared" si="7"/>
        <v>Aug</v>
      </c>
      <c r="S85" s="24" t="str">
        <f t="shared" si="8"/>
        <v>2024</v>
      </c>
    </row>
    <row r="86" spans="1:19" ht="15.6" x14ac:dyDescent="0.3">
      <c r="A86" s="1">
        <v>45515</v>
      </c>
      <c r="B86" s="2" t="s">
        <v>31</v>
      </c>
      <c r="C86" s="2" t="s">
        <v>27</v>
      </c>
      <c r="D86" s="2" t="s">
        <v>24</v>
      </c>
      <c r="E86" s="2" t="s">
        <v>29</v>
      </c>
      <c r="F86" s="2">
        <v>1287.8900000000001</v>
      </c>
      <c r="G86" s="2">
        <v>1530</v>
      </c>
      <c r="H86" s="2">
        <v>781</v>
      </c>
      <c r="I86" s="2">
        <v>19</v>
      </c>
      <c r="J86" s="2">
        <v>18695.55</v>
      </c>
      <c r="K86" s="2">
        <v>0.51049999999999995</v>
      </c>
      <c r="L86" s="2">
        <v>1.65</v>
      </c>
      <c r="M86" s="2">
        <v>13.516400000000001</v>
      </c>
      <c r="N86" s="3">
        <f t="shared" si="6"/>
        <v>2.4327784891165175E-2</v>
      </c>
      <c r="O86" s="5">
        <f>Table1[[#This Row],[Conversions-]]/Table1[[#This Row],[Clicks-]]*100</f>
        <v>2.4327784891165174</v>
      </c>
      <c r="P86" s="22">
        <f>SUM(Table1[Revenue-])/SUM(Table1[Spent])</f>
        <v>3.9916314247564531</v>
      </c>
      <c r="Q86" s="54">
        <f>Table1[[#This Row],[Revenue-]]-Table1[[#This Row],[Spent]]</f>
        <v>17407.66</v>
      </c>
      <c r="R86" s="24" t="str">
        <f t="shared" si="7"/>
        <v>Aug</v>
      </c>
      <c r="S86" s="24" t="str">
        <f t="shared" si="8"/>
        <v>2024</v>
      </c>
    </row>
    <row r="87" spans="1:19" ht="15.6" x14ac:dyDescent="0.3">
      <c r="A87" s="4">
        <v>45522</v>
      </c>
      <c r="B87" s="5" t="s">
        <v>23</v>
      </c>
      <c r="C87" s="5" t="s">
        <v>27</v>
      </c>
      <c r="D87" s="5" t="s">
        <v>28</v>
      </c>
      <c r="E87" s="5" t="s">
        <v>29</v>
      </c>
      <c r="F87" s="5">
        <v>3378.78</v>
      </c>
      <c r="G87" s="5">
        <v>5196</v>
      </c>
      <c r="H87" s="5">
        <v>723</v>
      </c>
      <c r="I87" s="5">
        <v>42</v>
      </c>
      <c r="J87" s="5">
        <v>1023.81</v>
      </c>
      <c r="K87" s="5">
        <v>0.1391</v>
      </c>
      <c r="L87" s="5">
        <v>4.67</v>
      </c>
      <c r="M87" s="5">
        <v>-0.69699999999999995</v>
      </c>
      <c r="N87" s="3">
        <f t="shared" si="6"/>
        <v>5.8091286307053944E-2</v>
      </c>
      <c r="O87" s="5">
        <f>Table1[[#This Row],[Conversions-]]/Table1[[#This Row],[Clicks-]]*100</f>
        <v>5.809128630705394</v>
      </c>
      <c r="P87" s="22">
        <f>SUM(Table1[Revenue-])/SUM(Table1[Spent])</f>
        <v>3.9916314247564531</v>
      </c>
      <c r="Q87" s="54">
        <f>Table1[[#This Row],[Revenue-]]-Table1[[#This Row],[Spent]]</f>
        <v>-2354.9700000000003</v>
      </c>
      <c r="R87" s="24" t="str">
        <f t="shared" si="7"/>
        <v>Aug</v>
      </c>
      <c r="S87" s="24" t="str">
        <f t="shared" si="8"/>
        <v>2024</v>
      </c>
    </row>
    <row r="88" spans="1:19" ht="15.6" x14ac:dyDescent="0.3">
      <c r="A88" s="1">
        <v>45529</v>
      </c>
      <c r="B88" s="2" t="s">
        <v>19</v>
      </c>
      <c r="C88" s="2" t="s">
        <v>20</v>
      </c>
      <c r="D88" s="2" t="s">
        <v>21</v>
      </c>
      <c r="E88" s="2" t="s">
        <v>22</v>
      </c>
      <c r="F88" s="2">
        <v>3632.86</v>
      </c>
      <c r="G88" s="2">
        <v>8716</v>
      </c>
      <c r="H88" s="2">
        <v>259</v>
      </c>
      <c r="I88" s="2">
        <v>44</v>
      </c>
      <c r="J88" s="2">
        <v>15651.6</v>
      </c>
      <c r="K88" s="2">
        <v>2.9700000000000001E-2</v>
      </c>
      <c r="L88" s="2">
        <v>14.03</v>
      </c>
      <c r="M88" s="2">
        <v>3.3083</v>
      </c>
      <c r="N88" s="3">
        <f t="shared" si="6"/>
        <v>0.16988416988416988</v>
      </c>
      <c r="O88" s="5">
        <f>Table1[[#This Row],[Conversions-]]/Table1[[#This Row],[Clicks-]]*100</f>
        <v>16.988416988416986</v>
      </c>
      <c r="P88" s="22">
        <f>SUM(Table1[Revenue-])/SUM(Table1[Spent])</f>
        <v>3.9916314247564531</v>
      </c>
      <c r="Q88" s="54">
        <f>Table1[[#This Row],[Revenue-]]-Table1[[#This Row],[Spent]]</f>
        <v>12018.74</v>
      </c>
      <c r="R88" s="24" t="str">
        <f t="shared" si="7"/>
        <v>Aug</v>
      </c>
      <c r="S88" s="24" t="str">
        <f t="shared" si="8"/>
        <v>2024</v>
      </c>
    </row>
    <row r="89" spans="1:19" ht="15.6" x14ac:dyDescent="0.3">
      <c r="A89" s="4">
        <v>45536</v>
      </c>
      <c r="B89" s="5" t="s">
        <v>31</v>
      </c>
      <c r="C89" s="5" t="s">
        <v>20</v>
      </c>
      <c r="D89" s="5" t="s">
        <v>30</v>
      </c>
      <c r="E89" s="5" t="s">
        <v>29</v>
      </c>
      <c r="F89" s="5">
        <v>1154.8399999999999</v>
      </c>
      <c r="G89" s="5">
        <v>4205</v>
      </c>
      <c r="H89" s="5">
        <v>538</v>
      </c>
      <c r="I89" s="5">
        <v>3</v>
      </c>
      <c r="J89" s="5">
        <v>4112.01</v>
      </c>
      <c r="K89" s="5">
        <v>0.12790000000000001</v>
      </c>
      <c r="L89" s="5">
        <v>2.15</v>
      </c>
      <c r="M89" s="5">
        <v>2.5607000000000002</v>
      </c>
      <c r="N89" s="3">
        <f t="shared" si="6"/>
        <v>5.5762081784386614E-3</v>
      </c>
      <c r="O89" s="5">
        <f>Table1[[#This Row],[Conversions-]]/Table1[[#This Row],[Clicks-]]*100</f>
        <v>0.55762081784386619</v>
      </c>
      <c r="P89" s="22">
        <f>SUM(Table1[Revenue-])/SUM(Table1[Spent])</f>
        <v>3.9916314247564531</v>
      </c>
      <c r="Q89" s="54">
        <f>Table1[[#This Row],[Revenue-]]-Table1[[#This Row],[Spent]]</f>
        <v>2957.17</v>
      </c>
      <c r="R89" s="24" t="str">
        <f t="shared" si="7"/>
        <v>Sep</v>
      </c>
      <c r="S89" s="24" t="str">
        <f t="shared" si="8"/>
        <v>2024</v>
      </c>
    </row>
    <row r="90" spans="1:19" ht="15.6" x14ac:dyDescent="0.3">
      <c r="A90" s="1">
        <v>45543</v>
      </c>
      <c r="B90" s="2" t="s">
        <v>31</v>
      </c>
      <c r="C90" s="2" t="s">
        <v>25</v>
      </c>
      <c r="D90" s="2" t="s">
        <v>28</v>
      </c>
      <c r="E90" s="2" t="s">
        <v>22</v>
      </c>
      <c r="F90" s="2">
        <v>1862.04</v>
      </c>
      <c r="G90" s="2">
        <v>3569</v>
      </c>
      <c r="H90" s="2">
        <v>774</v>
      </c>
      <c r="I90" s="2">
        <v>11</v>
      </c>
      <c r="J90" s="2">
        <v>8787.16</v>
      </c>
      <c r="K90" s="2">
        <v>0.21690000000000001</v>
      </c>
      <c r="L90" s="2">
        <v>2.41</v>
      </c>
      <c r="M90" s="2">
        <v>3.7191000000000001</v>
      </c>
      <c r="N90" s="3">
        <f t="shared" si="6"/>
        <v>1.4211886304909561E-2</v>
      </c>
      <c r="O90" s="5">
        <f>Table1[[#This Row],[Conversions-]]/Table1[[#This Row],[Clicks-]]*100</f>
        <v>1.421188630490956</v>
      </c>
      <c r="P90" s="22">
        <f>SUM(Table1[Revenue-])/SUM(Table1[Spent])</f>
        <v>3.9916314247564531</v>
      </c>
      <c r="Q90" s="54">
        <f>Table1[[#This Row],[Revenue-]]-Table1[[#This Row],[Spent]]</f>
        <v>6925.12</v>
      </c>
      <c r="R90" s="24" t="str">
        <f t="shared" si="7"/>
        <v>Sep</v>
      </c>
      <c r="S90" s="24" t="str">
        <f t="shared" si="8"/>
        <v>2024</v>
      </c>
    </row>
    <row r="91" spans="1:19" ht="15.6" x14ac:dyDescent="0.3">
      <c r="A91" s="4">
        <v>45550</v>
      </c>
      <c r="B91" s="5" t="s">
        <v>34</v>
      </c>
      <c r="C91" s="5" t="s">
        <v>20</v>
      </c>
      <c r="D91" s="5" t="s">
        <v>21</v>
      </c>
      <c r="E91" s="5" t="s">
        <v>33</v>
      </c>
      <c r="F91" s="5">
        <v>1555.73</v>
      </c>
      <c r="G91" s="5">
        <v>9432</v>
      </c>
      <c r="H91" s="5">
        <v>623</v>
      </c>
      <c r="I91" s="5">
        <v>29</v>
      </c>
      <c r="J91" s="5">
        <v>18952.14</v>
      </c>
      <c r="K91" s="5">
        <v>6.6100000000000006E-2</v>
      </c>
      <c r="L91" s="5">
        <v>2.5</v>
      </c>
      <c r="M91" s="5">
        <v>11.1822</v>
      </c>
      <c r="N91" s="3">
        <f t="shared" si="6"/>
        <v>4.6548956661316213E-2</v>
      </c>
      <c r="O91" s="5">
        <f>Table1[[#This Row],[Conversions-]]/Table1[[#This Row],[Clicks-]]*100</f>
        <v>4.6548956661316216</v>
      </c>
      <c r="P91" s="22">
        <f>SUM(Table1[Revenue-])/SUM(Table1[Spent])</f>
        <v>3.9916314247564531</v>
      </c>
      <c r="Q91" s="54">
        <f>Table1[[#This Row],[Revenue-]]-Table1[[#This Row],[Spent]]</f>
        <v>17396.41</v>
      </c>
      <c r="R91" s="24" t="str">
        <f t="shared" si="7"/>
        <v>Sep</v>
      </c>
      <c r="S91" s="24" t="str">
        <f t="shared" si="8"/>
        <v>2024</v>
      </c>
    </row>
    <row r="92" spans="1:19" ht="15.6" x14ac:dyDescent="0.3">
      <c r="A92" s="1">
        <v>45557</v>
      </c>
      <c r="B92" s="2" t="s">
        <v>23</v>
      </c>
      <c r="C92" s="2" t="s">
        <v>20</v>
      </c>
      <c r="D92" s="2" t="s">
        <v>28</v>
      </c>
      <c r="E92" s="2" t="s">
        <v>26</v>
      </c>
      <c r="F92" s="2">
        <v>3973.06</v>
      </c>
      <c r="G92" s="2">
        <v>4187</v>
      </c>
      <c r="H92" s="2">
        <v>619</v>
      </c>
      <c r="I92" s="2">
        <v>5</v>
      </c>
      <c r="J92" s="2">
        <v>13059.27</v>
      </c>
      <c r="K92" s="2">
        <v>0.14779999999999999</v>
      </c>
      <c r="L92" s="2">
        <v>6.42</v>
      </c>
      <c r="M92" s="2">
        <v>2.2869999999999999</v>
      </c>
      <c r="N92" s="3">
        <f t="shared" si="6"/>
        <v>8.0775444264943458E-3</v>
      </c>
      <c r="O92" s="5">
        <f>Table1[[#This Row],[Conversions-]]/Table1[[#This Row],[Clicks-]]*100</f>
        <v>0.80775444264943452</v>
      </c>
      <c r="P92" s="22">
        <f>SUM(Table1[Revenue-])/SUM(Table1[Spent])</f>
        <v>3.9916314247564531</v>
      </c>
      <c r="Q92" s="54">
        <f>Table1[[#This Row],[Revenue-]]-Table1[[#This Row],[Spent]]</f>
        <v>9086.2100000000009</v>
      </c>
      <c r="R92" s="24" t="str">
        <f t="shared" si="7"/>
        <v>Sep</v>
      </c>
      <c r="S92" s="24" t="str">
        <f t="shared" si="8"/>
        <v>2024</v>
      </c>
    </row>
    <row r="93" spans="1:19" ht="15.6" x14ac:dyDescent="0.3">
      <c r="A93" s="4">
        <v>45564</v>
      </c>
      <c r="B93" s="5" t="s">
        <v>34</v>
      </c>
      <c r="C93" s="5" t="s">
        <v>20</v>
      </c>
      <c r="D93" s="5" t="s">
        <v>30</v>
      </c>
      <c r="E93" s="5" t="s">
        <v>26</v>
      </c>
      <c r="F93" s="5">
        <v>3970.41</v>
      </c>
      <c r="G93" s="5">
        <v>1114</v>
      </c>
      <c r="H93" s="5">
        <v>869</v>
      </c>
      <c r="I93" s="5">
        <v>46</v>
      </c>
      <c r="J93" s="5">
        <v>6219.6</v>
      </c>
      <c r="K93" s="5">
        <v>0.78010000000000002</v>
      </c>
      <c r="L93" s="5">
        <v>4.57</v>
      </c>
      <c r="M93" s="5">
        <v>0.5665</v>
      </c>
      <c r="N93" s="3">
        <f t="shared" si="6"/>
        <v>5.2934407364787113E-2</v>
      </c>
      <c r="O93" s="5">
        <f>Table1[[#This Row],[Conversions-]]/Table1[[#This Row],[Clicks-]]*100</f>
        <v>5.2934407364787113</v>
      </c>
      <c r="P93" s="22">
        <f>SUM(Table1[Revenue-])/SUM(Table1[Spent])</f>
        <v>3.9916314247564531</v>
      </c>
      <c r="Q93" s="54">
        <f>Table1[[#This Row],[Revenue-]]-Table1[[#This Row],[Spent]]</f>
        <v>2249.1900000000005</v>
      </c>
      <c r="R93" s="24" t="str">
        <f t="shared" si="7"/>
        <v>Sep</v>
      </c>
      <c r="S93" s="24" t="str">
        <f t="shared" si="8"/>
        <v>2024</v>
      </c>
    </row>
    <row r="94" spans="1:19" ht="15.6" x14ac:dyDescent="0.3">
      <c r="A94" s="1">
        <v>45571</v>
      </c>
      <c r="B94" s="2" t="s">
        <v>31</v>
      </c>
      <c r="C94" s="2" t="s">
        <v>27</v>
      </c>
      <c r="D94" s="2" t="s">
        <v>30</v>
      </c>
      <c r="E94" s="2" t="s">
        <v>26</v>
      </c>
      <c r="F94" s="2">
        <v>2946.93</v>
      </c>
      <c r="G94" s="2">
        <v>9307</v>
      </c>
      <c r="H94" s="2">
        <v>583</v>
      </c>
      <c r="I94" s="2">
        <v>39</v>
      </c>
      <c r="J94" s="2">
        <v>5436.82</v>
      </c>
      <c r="K94" s="2">
        <v>6.2600000000000003E-2</v>
      </c>
      <c r="L94" s="2">
        <v>5.05</v>
      </c>
      <c r="M94" s="2">
        <v>0.84489999999999998</v>
      </c>
      <c r="N94" s="3">
        <f t="shared" si="6"/>
        <v>6.6895368782161235E-2</v>
      </c>
      <c r="O94" s="5">
        <f>Table1[[#This Row],[Conversions-]]/Table1[[#This Row],[Clicks-]]*100</f>
        <v>6.6895368782161233</v>
      </c>
      <c r="P94" s="22">
        <f>SUM(Table1[Revenue-])/SUM(Table1[Spent])</f>
        <v>3.9916314247564531</v>
      </c>
      <c r="Q94" s="54">
        <f>Table1[[#This Row],[Revenue-]]-Table1[[#This Row],[Spent]]</f>
        <v>2489.89</v>
      </c>
      <c r="R94" s="24" t="str">
        <f t="shared" si="7"/>
        <v>Oct</v>
      </c>
      <c r="S94" s="24" t="str">
        <f t="shared" si="8"/>
        <v>2024</v>
      </c>
    </row>
    <row r="95" spans="1:19" ht="15.6" x14ac:dyDescent="0.3">
      <c r="A95" s="4">
        <v>45578</v>
      </c>
      <c r="B95" s="5" t="s">
        <v>34</v>
      </c>
      <c r="C95" s="5" t="s">
        <v>27</v>
      </c>
      <c r="D95" s="5" t="s">
        <v>30</v>
      </c>
      <c r="E95" s="5" t="s">
        <v>22</v>
      </c>
      <c r="F95" s="5">
        <v>2916.69</v>
      </c>
      <c r="G95" s="5">
        <v>2060</v>
      </c>
      <c r="H95" s="5">
        <v>172</v>
      </c>
      <c r="I95" s="5">
        <v>17</v>
      </c>
      <c r="J95" s="5">
        <v>11932.58</v>
      </c>
      <c r="K95" s="5">
        <v>8.3500000000000005E-2</v>
      </c>
      <c r="L95" s="5">
        <v>16.96</v>
      </c>
      <c r="M95" s="5">
        <v>3.0911</v>
      </c>
      <c r="N95" s="3">
        <f t="shared" si="6"/>
        <v>9.8837209302325577E-2</v>
      </c>
      <c r="O95" s="5">
        <f>Table1[[#This Row],[Conversions-]]/Table1[[#This Row],[Clicks-]]*100</f>
        <v>9.8837209302325579</v>
      </c>
      <c r="P95" s="22">
        <f>SUM(Table1[Revenue-])/SUM(Table1[Spent])</f>
        <v>3.9916314247564531</v>
      </c>
      <c r="Q95" s="54">
        <f>Table1[[#This Row],[Revenue-]]-Table1[[#This Row],[Spent]]</f>
        <v>9015.89</v>
      </c>
      <c r="R95" s="24" t="str">
        <f t="shared" si="7"/>
        <v>Oct</v>
      </c>
      <c r="S95" s="24" t="str">
        <f t="shared" si="8"/>
        <v>2024</v>
      </c>
    </row>
    <row r="96" spans="1:19" ht="15.6" x14ac:dyDescent="0.3">
      <c r="A96" s="1">
        <v>45585</v>
      </c>
      <c r="B96" s="2" t="s">
        <v>23</v>
      </c>
      <c r="C96" s="2" t="s">
        <v>27</v>
      </c>
      <c r="D96" s="2" t="s">
        <v>21</v>
      </c>
      <c r="E96" s="2" t="s">
        <v>29</v>
      </c>
      <c r="F96" s="2">
        <v>3636.93</v>
      </c>
      <c r="G96" s="2">
        <v>6856</v>
      </c>
      <c r="H96" s="2">
        <v>352</v>
      </c>
      <c r="I96" s="2">
        <v>26</v>
      </c>
      <c r="J96" s="2">
        <v>18906.16</v>
      </c>
      <c r="K96" s="2">
        <v>5.1299999999999998E-2</v>
      </c>
      <c r="L96" s="2">
        <v>10.33</v>
      </c>
      <c r="M96" s="2">
        <v>4.1984000000000004</v>
      </c>
      <c r="N96" s="3">
        <f t="shared" si="6"/>
        <v>7.3863636363636367E-2</v>
      </c>
      <c r="O96" s="5">
        <f>Table1[[#This Row],[Conversions-]]/Table1[[#This Row],[Clicks-]]*100</f>
        <v>7.3863636363636367</v>
      </c>
      <c r="P96" s="22">
        <f>SUM(Table1[Revenue-])/SUM(Table1[Spent])</f>
        <v>3.9916314247564531</v>
      </c>
      <c r="Q96" s="54">
        <f>Table1[[#This Row],[Revenue-]]-Table1[[#This Row],[Spent]]</f>
        <v>15269.23</v>
      </c>
      <c r="R96" s="24" t="str">
        <f t="shared" si="7"/>
        <v>Oct</v>
      </c>
      <c r="S96" s="24" t="str">
        <f t="shared" si="8"/>
        <v>2024</v>
      </c>
    </row>
    <row r="97" spans="1:19" ht="15.6" x14ac:dyDescent="0.3">
      <c r="A97" s="4">
        <v>45592</v>
      </c>
      <c r="B97" s="5" t="s">
        <v>34</v>
      </c>
      <c r="C97" s="5" t="s">
        <v>32</v>
      </c>
      <c r="D97" s="5" t="s">
        <v>24</v>
      </c>
      <c r="E97" s="5" t="s">
        <v>33</v>
      </c>
      <c r="F97" s="5">
        <v>3540.6</v>
      </c>
      <c r="G97" s="5">
        <v>8400</v>
      </c>
      <c r="H97" s="5">
        <v>979</v>
      </c>
      <c r="I97" s="5">
        <v>28</v>
      </c>
      <c r="J97" s="5">
        <v>17279.68</v>
      </c>
      <c r="K97" s="5">
        <v>0.11650000000000001</v>
      </c>
      <c r="L97" s="5">
        <v>3.62</v>
      </c>
      <c r="M97" s="5">
        <v>3.8803999999999998</v>
      </c>
      <c r="N97" s="3">
        <f t="shared" si="6"/>
        <v>2.8600612870275793E-2</v>
      </c>
      <c r="O97" s="5">
        <f>Table1[[#This Row],[Conversions-]]/Table1[[#This Row],[Clicks-]]*100</f>
        <v>2.8600612870275794</v>
      </c>
      <c r="P97" s="22">
        <f>SUM(Table1[Revenue-])/SUM(Table1[Spent])</f>
        <v>3.9916314247564531</v>
      </c>
      <c r="Q97" s="54">
        <f>Table1[[#This Row],[Revenue-]]-Table1[[#This Row],[Spent]]</f>
        <v>13739.08</v>
      </c>
      <c r="R97" s="24" t="str">
        <f t="shared" si="7"/>
        <v>Oct</v>
      </c>
      <c r="S97" s="24" t="str">
        <f t="shared" si="8"/>
        <v>2024</v>
      </c>
    </row>
    <row r="98" spans="1:19" ht="15.6" x14ac:dyDescent="0.3">
      <c r="A98" s="1">
        <v>45599</v>
      </c>
      <c r="B98" s="2" t="s">
        <v>23</v>
      </c>
      <c r="C98" s="2" t="s">
        <v>25</v>
      </c>
      <c r="D98" s="2" t="s">
        <v>28</v>
      </c>
      <c r="E98" s="2" t="s">
        <v>29</v>
      </c>
      <c r="F98" s="2">
        <v>950.21</v>
      </c>
      <c r="G98" s="2">
        <v>9942</v>
      </c>
      <c r="H98" s="2">
        <v>530</v>
      </c>
      <c r="I98" s="2">
        <v>31</v>
      </c>
      <c r="J98" s="2">
        <v>12641.66</v>
      </c>
      <c r="K98" s="2">
        <v>5.33E-2</v>
      </c>
      <c r="L98" s="2">
        <v>1.79</v>
      </c>
      <c r="M98" s="2">
        <v>12.3041</v>
      </c>
      <c r="N98" s="3">
        <f t="shared" si="6"/>
        <v>5.849056603773585E-2</v>
      </c>
      <c r="O98" s="5">
        <f>Table1[[#This Row],[Conversions-]]/Table1[[#This Row],[Clicks-]]*100</f>
        <v>5.8490566037735849</v>
      </c>
      <c r="P98" s="22">
        <f>SUM(Table1[Revenue-])/SUM(Table1[Spent])</f>
        <v>3.9916314247564531</v>
      </c>
      <c r="Q98" s="54">
        <f>Table1[[#This Row],[Revenue-]]-Table1[[#This Row],[Spent]]</f>
        <v>11691.45</v>
      </c>
      <c r="R98" s="24" t="str">
        <f t="shared" si="7"/>
        <v>Nov</v>
      </c>
      <c r="S98" s="24" t="str">
        <f t="shared" si="8"/>
        <v>2024</v>
      </c>
    </row>
    <row r="99" spans="1:19" ht="15.6" x14ac:dyDescent="0.3">
      <c r="A99" s="4">
        <v>45606</v>
      </c>
      <c r="B99" s="5" t="s">
        <v>19</v>
      </c>
      <c r="C99" s="5" t="s">
        <v>25</v>
      </c>
      <c r="D99" s="5" t="s">
        <v>28</v>
      </c>
      <c r="E99" s="5" t="s">
        <v>22</v>
      </c>
      <c r="F99" s="5">
        <v>2056.67</v>
      </c>
      <c r="G99" s="5">
        <v>5688</v>
      </c>
      <c r="H99" s="5">
        <v>583</v>
      </c>
      <c r="I99" s="5">
        <v>49</v>
      </c>
      <c r="J99" s="5">
        <v>14541.76</v>
      </c>
      <c r="K99" s="5">
        <v>0.10249999999999999</v>
      </c>
      <c r="L99" s="5">
        <v>3.53</v>
      </c>
      <c r="M99" s="5">
        <v>6.0705</v>
      </c>
      <c r="N99" s="3">
        <f t="shared" si="6"/>
        <v>8.4048027444253853E-2</v>
      </c>
      <c r="O99" s="5">
        <f>Table1[[#This Row],[Conversions-]]/Table1[[#This Row],[Clicks-]]*100</f>
        <v>8.4048027444253854</v>
      </c>
      <c r="P99" s="22">
        <f>SUM(Table1[Revenue-])/SUM(Table1[Spent])</f>
        <v>3.9916314247564531</v>
      </c>
      <c r="Q99" s="54">
        <f>Table1[[#This Row],[Revenue-]]-Table1[[#This Row],[Spent]]</f>
        <v>12485.09</v>
      </c>
      <c r="R99" s="24" t="str">
        <f t="shared" si="7"/>
        <v>Nov</v>
      </c>
      <c r="S99" s="24" t="str">
        <f t="shared" si="8"/>
        <v>2024</v>
      </c>
    </row>
    <row r="100" spans="1:19" ht="15.6" x14ac:dyDescent="0.3">
      <c r="A100" s="1">
        <v>45613</v>
      </c>
      <c r="B100" s="2" t="s">
        <v>34</v>
      </c>
      <c r="C100" s="2" t="s">
        <v>32</v>
      </c>
      <c r="D100" s="2" t="s">
        <v>21</v>
      </c>
      <c r="E100" s="2" t="s">
        <v>29</v>
      </c>
      <c r="F100" s="2">
        <v>2756.2</v>
      </c>
      <c r="G100" s="2">
        <v>5013</v>
      </c>
      <c r="H100" s="2">
        <v>664</v>
      </c>
      <c r="I100" s="2">
        <v>31</v>
      </c>
      <c r="J100" s="2">
        <v>6824.82</v>
      </c>
      <c r="K100" s="2">
        <v>0.13250000000000001</v>
      </c>
      <c r="L100" s="2">
        <v>4.1500000000000004</v>
      </c>
      <c r="M100" s="2">
        <v>1.4762</v>
      </c>
      <c r="N100" s="3">
        <f t="shared" si="6"/>
        <v>4.6686746987951805E-2</v>
      </c>
      <c r="O100" s="5">
        <f>Table1[[#This Row],[Conversions-]]/Table1[[#This Row],[Clicks-]]*100</f>
        <v>4.6686746987951802</v>
      </c>
      <c r="P100" s="22">
        <f>SUM(Table1[Revenue-])/SUM(Table1[Spent])</f>
        <v>3.9916314247564531</v>
      </c>
      <c r="Q100" s="54">
        <f>Table1[[#This Row],[Revenue-]]-Table1[[#This Row],[Spent]]</f>
        <v>4068.62</v>
      </c>
      <c r="R100" s="24" t="str">
        <f t="shared" si="7"/>
        <v>Nov</v>
      </c>
      <c r="S100" s="24" t="str">
        <f t="shared" si="8"/>
        <v>2024</v>
      </c>
    </row>
    <row r="101" spans="1:19" ht="15.6" x14ac:dyDescent="0.3">
      <c r="A101" s="4">
        <v>45620</v>
      </c>
      <c r="B101" s="5" t="s">
        <v>23</v>
      </c>
      <c r="C101" s="5" t="s">
        <v>20</v>
      </c>
      <c r="D101" s="5" t="s">
        <v>21</v>
      </c>
      <c r="E101" s="5" t="s">
        <v>26</v>
      </c>
      <c r="F101" s="5">
        <v>1328.71</v>
      </c>
      <c r="G101" s="5">
        <v>1941</v>
      </c>
      <c r="H101" s="5">
        <v>177</v>
      </c>
      <c r="I101" s="5">
        <v>1</v>
      </c>
      <c r="J101" s="5">
        <v>9215.7199999999993</v>
      </c>
      <c r="K101" s="5">
        <v>9.1200000000000003E-2</v>
      </c>
      <c r="L101" s="5">
        <v>7.51</v>
      </c>
      <c r="M101" s="5">
        <v>5.9358000000000004</v>
      </c>
      <c r="N101" s="3">
        <f t="shared" si="6"/>
        <v>5.6497175141242938E-3</v>
      </c>
      <c r="O101" s="20">
        <f>Table1[[#This Row],[Conversions-]]/Table1[[#This Row],[Clicks-]]*100</f>
        <v>0.56497175141242939</v>
      </c>
      <c r="P101" s="23">
        <f>SUM(Table1[Revenue-])/SUM(Table1[Spent])</f>
        <v>3.9916314247564531</v>
      </c>
      <c r="Q101" s="54">
        <f>Table1[[#This Row],[Revenue-]]-Table1[[#This Row],[Spent]]</f>
        <v>7887.0099999999993</v>
      </c>
      <c r="R101" s="24" t="str">
        <f t="shared" si="7"/>
        <v>Nov</v>
      </c>
      <c r="S101" s="24" t="str">
        <f t="shared" si="8"/>
        <v>2024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72AC7-1BB4-4D69-9D1A-75381B6A095F}">
  <sheetPr>
    <tabColor theme="6"/>
  </sheetPr>
  <dimension ref="A1:T66"/>
  <sheetViews>
    <sheetView workbookViewId="0">
      <selection activeCell="Q56" sqref="Q56"/>
    </sheetView>
  </sheetViews>
  <sheetFormatPr defaultRowHeight="14.4" x14ac:dyDescent="0.3"/>
  <cols>
    <col min="1" max="2" width="36.5546875" bestFit="1" customWidth="1"/>
    <col min="7" max="7" width="13" bestFit="1" customWidth="1"/>
    <col min="9" max="9" width="28.88671875" customWidth="1"/>
    <col min="12" max="12" width="14.6640625" bestFit="1" customWidth="1"/>
    <col min="13" max="13" width="22.109375" customWidth="1"/>
    <col min="14" max="14" width="18.33203125" bestFit="1" customWidth="1"/>
  </cols>
  <sheetData>
    <row r="1" spans="1:16" ht="15.6" x14ac:dyDescent="0.3">
      <c r="A1" s="6" t="s">
        <v>35</v>
      </c>
      <c r="K1" s="6" t="s">
        <v>36</v>
      </c>
      <c r="P1" s="24" t="s">
        <v>37</v>
      </c>
    </row>
    <row r="2" spans="1:16" ht="15.6" x14ac:dyDescent="0.3">
      <c r="K2" s="11" t="s">
        <v>38</v>
      </c>
      <c r="P2" s="24"/>
    </row>
    <row r="3" spans="1:16" ht="15.6" x14ac:dyDescent="0.3">
      <c r="A3" s="67" t="s">
        <v>39</v>
      </c>
      <c r="K3" s="12" t="s">
        <v>40</v>
      </c>
      <c r="P3" s="24" t="s">
        <v>41</v>
      </c>
    </row>
    <row r="4" spans="1:16" ht="15.6" x14ac:dyDescent="0.3">
      <c r="A4" s="7" t="s">
        <v>42</v>
      </c>
      <c r="K4" s="11" t="s">
        <v>43</v>
      </c>
      <c r="P4" s="25"/>
    </row>
    <row r="5" spans="1:16" ht="15.6" x14ac:dyDescent="0.3">
      <c r="A5" s="8" t="s">
        <v>44</v>
      </c>
      <c r="K5" s="12" t="s">
        <v>45</v>
      </c>
      <c r="P5" s="25" t="s">
        <v>46</v>
      </c>
    </row>
    <row r="6" spans="1:16" ht="15.6" x14ac:dyDescent="0.3">
      <c r="A6" s="8" t="s">
        <v>47</v>
      </c>
      <c r="K6" s="11" t="s">
        <v>48</v>
      </c>
      <c r="P6" s="25"/>
    </row>
    <row r="7" spans="1:16" ht="16.2" thickBot="1" x14ac:dyDescent="0.35">
      <c r="A7" s="8" t="s">
        <v>49</v>
      </c>
      <c r="C7" s="26" t="s">
        <v>50</v>
      </c>
      <c r="K7" s="12" t="s">
        <v>51</v>
      </c>
      <c r="P7" s="25" t="s">
        <v>52</v>
      </c>
    </row>
    <row r="8" spans="1:16" ht="16.2" thickBot="1" x14ac:dyDescent="0.35">
      <c r="A8" s="8" t="s">
        <v>53</v>
      </c>
      <c r="C8" s="71" t="s">
        <v>54</v>
      </c>
      <c r="K8" s="11" t="s">
        <v>55</v>
      </c>
      <c r="P8" s="24"/>
    </row>
    <row r="9" spans="1:16" ht="15.6" x14ac:dyDescent="0.3">
      <c r="K9" s="12" t="s">
        <v>56</v>
      </c>
      <c r="P9" s="24" t="s">
        <v>57</v>
      </c>
    </row>
    <row r="10" spans="1:16" ht="15.6" x14ac:dyDescent="0.3">
      <c r="A10" s="6" t="s">
        <v>58</v>
      </c>
    </row>
    <row r="11" spans="1:16" ht="16.2" thickBot="1" x14ac:dyDescent="0.35">
      <c r="A11" s="8" t="s">
        <v>59</v>
      </c>
      <c r="J11" s="24"/>
    </row>
    <row r="12" spans="1:16" ht="16.2" thickBot="1" x14ac:dyDescent="0.35">
      <c r="A12" s="8" t="s">
        <v>60</v>
      </c>
      <c r="D12" s="26" t="s">
        <v>61</v>
      </c>
      <c r="G12" s="71" t="s">
        <v>24</v>
      </c>
    </row>
    <row r="13" spans="1:16" ht="15.6" x14ac:dyDescent="0.3">
      <c r="A13" s="8" t="s">
        <v>62</v>
      </c>
      <c r="D13" s="26" t="s">
        <v>63</v>
      </c>
    </row>
    <row r="14" spans="1:16" ht="15.6" x14ac:dyDescent="0.3">
      <c r="A14" s="8" t="s">
        <v>64</v>
      </c>
    </row>
    <row r="15" spans="1:16" ht="15.6" x14ac:dyDescent="0.3">
      <c r="A15" s="8" t="s">
        <v>65</v>
      </c>
      <c r="K15" s="26" t="s">
        <v>66</v>
      </c>
    </row>
    <row r="16" spans="1:16" ht="18" x14ac:dyDescent="0.35">
      <c r="K16" s="27" t="s">
        <v>67</v>
      </c>
    </row>
    <row r="18" spans="1:20" ht="21" x14ac:dyDescent="0.4">
      <c r="A18" s="9" t="s">
        <v>68</v>
      </c>
      <c r="L18" s="15" t="s">
        <v>69</v>
      </c>
      <c r="M18" s="16" t="s">
        <v>70</v>
      </c>
    </row>
    <row r="19" spans="1:20" ht="18" x14ac:dyDescent="0.3">
      <c r="A19" s="10" t="s">
        <v>71</v>
      </c>
      <c r="M19" s="16" t="s">
        <v>72</v>
      </c>
      <c r="N19" s="17" t="s">
        <v>73</v>
      </c>
      <c r="O19" s="17" t="s">
        <v>74</v>
      </c>
    </row>
    <row r="20" spans="1:20" ht="18" x14ac:dyDescent="0.3">
      <c r="A20" s="10" t="s">
        <v>75</v>
      </c>
      <c r="M20" s="16" t="s">
        <v>76</v>
      </c>
    </row>
    <row r="21" spans="1:20" ht="18" x14ac:dyDescent="0.3">
      <c r="A21" s="10" t="s">
        <v>77</v>
      </c>
      <c r="M21" s="16" t="s">
        <v>78</v>
      </c>
    </row>
    <row r="22" spans="1:20" ht="18" x14ac:dyDescent="0.3">
      <c r="A22" s="10" t="s">
        <v>79</v>
      </c>
      <c r="M22" s="16" t="s">
        <v>80</v>
      </c>
    </row>
    <row r="23" spans="1:20" ht="18" x14ac:dyDescent="0.3">
      <c r="A23" s="10" t="s">
        <v>81</v>
      </c>
      <c r="M23" s="16" t="s">
        <v>82</v>
      </c>
      <c r="T23" s="11" t="s">
        <v>43</v>
      </c>
    </row>
    <row r="24" spans="1:20" ht="18" x14ac:dyDescent="0.3">
      <c r="A24" s="10" t="s">
        <v>83</v>
      </c>
      <c r="T24" s="12" t="s">
        <v>45</v>
      </c>
    </row>
    <row r="25" spans="1:20" ht="18" x14ac:dyDescent="0.3">
      <c r="A25" s="10" t="s">
        <v>84</v>
      </c>
    </row>
    <row r="26" spans="1:20" ht="18" x14ac:dyDescent="0.3">
      <c r="A26" s="10" t="s">
        <v>85</v>
      </c>
    </row>
    <row r="27" spans="1:20" ht="18" x14ac:dyDescent="0.3">
      <c r="A27" s="10" t="s">
        <v>86</v>
      </c>
    </row>
    <row r="28" spans="1:20" ht="18" x14ac:dyDescent="0.3">
      <c r="A28" s="10" t="s">
        <v>87</v>
      </c>
    </row>
    <row r="29" spans="1:20" ht="18" x14ac:dyDescent="0.3">
      <c r="A29" s="10" t="s">
        <v>88</v>
      </c>
    </row>
    <row r="30" spans="1:20" ht="18" x14ac:dyDescent="0.3">
      <c r="A30" s="10" t="s">
        <v>89</v>
      </c>
    </row>
    <row r="31" spans="1:20" ht="18" x14ac:dyDescent="0.3">
      <c r="A31" s="10" t="s">
        <v>90</v>
      </c>
    </row>
    <row r="32" spans="1:20" ht="18" x14ac:dyDescent="0.3">
      <c r="A32" s="10" t="s">
        <v>91</v>
      </c>
    </row>
    <row r="33" spans="1:1" ht="18" x14ac:dyDescent="0.3">
      <c r="A33" s="10" t="s">
        <v>92</v>
      </c>
    </row>
    <row r="34" spans="1:1" ht="18" x14ac:dyDescent="0.3">
      <c r="A34" s="10" t="s">
        <v>93</v>
      </c>
    </row>
    <row r="35" spans="1:1" ht="18" x14ac:dyDescent="0.3">
      <c r="A35" s="10" t="s">
        <v>94</v>
      </c>
    </row>
    <row r="36" spans="1:1" ht="18" x14ac:dyDescent="0.3">
      <c r="A36" s="10" t="s">
        <v>95</v>
      </c>
    </row>
    <row r="37" spans="1:1" ht="18" x14ac:dyDescent="0.3">
      <c r="A37" s="10" t="s">
        <v>96</v>
      </c>
    </row>
    <row r="38" spans="1:1" ht="18" x14ac:dyDescent="0.3">
      <c r="A38" s="10" t="s">
        <v>97</v>
      </c>
    </row>
    <row r="39" spans="1:1" ht="18" x14ac:dyDescent="0.3">
      <c r="A39" s="10" t="s">
        <v>98</v>
      </c>
    </row>
    <row r="40" spans="1:1" ht="18" x14ac:dyDescent="0.3">
      <c r="A40" s="10" t="s">
        <v>99</v>
      </c>
    </row>
    <row r="41" spans="1:1" ht="18" x14ac:dyDescent="0.3">
      <c r="A41" s="10" t="s">
        <v>100</v>
      </c>
    </row>
    <row r="42" spans="1:1" ht="18" x14ac:dyDescent="0.3">
      <c r="A42" s="10" t="s">
        <v>101</v>
      </c>
    </row>
    <row r="43" spans="1:1" ht="18" x14ac:dyDescent="0.3">
      <c r="A43" s="10" t="s">
        <v>102</v>
      </c>
    </row>
    <row r="44" spans="1:1" ht="18" x14ac:dyDescent="0.3">
      <c r="A44" s="10" t="s">
        <v>103</v>
      </c>
    </row>
    <row r="45" spans="1:1" ht="18" x14ac:dyDescent="0.3">
      <c r="A45" s="10" t="s">
        <v>104</v>
      </c>
    </row>
    <row r="46" spans="1:1" ht="18" x14ac:dyDescent="0.3">
      <c r="A46" s="10" t="s">
        <v>105</v>
      </c>
    </row>
    <row r="47" spans="1:1" ht="18" x14ac:dyDescent="0.3">
      <c r="A47" s="10" t="s">
        <v>106</v>
      </c>
    </row>
    <row r="48" spans="1:1" ht="18" x14ac:dyDescent="0.3">
      <c r="A48" s="10" t="s">
        <v>107</v>
      </c>
    </row>
    <row r="49" spans="1:20" ht="18" x14ac:dyDescent="0.3">
      <c r="A49" s="10"/>
    </row>
    <row r="50" spans="1:20" ht="15.6" x14ac:dyDescent="0.3">
      <c r="L50" s="11" t="s">
        <v>48</v>
      </c>
      <c r="T50" s="11" t="s">
        <v>55</v>
      </c>
    </row>
    <row r="51" spans="1:20" ht="15.6" x14ac:dyDescent="0.3">
      <c r="A51" s="16" t="s">
        <v>108</v>
      </c>
      <c r="L51" s="12" t="s">
        <v>51</v>
      </c>
      <c r="T51" s="12" t="s">
        <v>56</v>
      </c>
    </row>
    <row r="52" spans="1:20" ht="15.6" x14ac:dyDescent="0.3">
      <c r="A52" s="66" t="s">
        <v>109</v>
      </c>
    </row>
    <row r="54" spans="1:20" ht="15.6" x14ac:dyDescent="0.3">
      <c r="A54" s="43" t="s">
        <v>110</v>
      </c>
    </row>
    <row r="55" spans="1:20" ht="15.6" x14ac:dyDescent="0.3">
      <c r="A55" s="43" t="s">
        <v>111</v>
      </c>
    </row>
    <row r="56" spans="1:20" ht="15.6" x14ac:dyDescent="0.3">
      <c r="A56" s="44" t="s">
        <v>112</v>
      </c>
    </row>
    <row r="57" spans="1:20" ht="15.6" x14ac:dyDescent="0.3">
      <c r="A57" s="44" t="s">
        <v>113</v>
      </c>
    </row>
    <row r="58" spans="1:20" ht="15.6" x14ac:dyDescent="0.3">
      <c r="A58" s="44" t="s">
        <v>114</v>
      </c>
    </row>
    <row r="59" spans="1:20" ht="15.6" x14ac:dyDescent="0.3">
      <c r="A59" s="43" t="s">
        <v>115</v>
      </c>
    </row>
    <row r="60" spans="1:20" ht="15.6" x14ac:dyDescent="0.3">
      <c r="A60" s="43" t="s">
        <v>116</v>
      </c>
    </row>
    <row r="61" spans="1:20" ht="15.6" x14ac:dyDescent="0.3">
      <c r="A61" s="43" t="s">
        <v>117</v>
      </c>
    </row>
    <row r="62" spans="1:20" ht="15.6" x14ac:dyDescent="0.3">
      <c r="A62" s="43" t="s">
        <v>118</v>
      </c>
    </row>
    <row r="64" spans="1:20" ht="15.6" x14ac:dyDescent="0.3">
      <c r="A64" s="63" t="s">
        <v>119</v>
      </c>
    </row>
    <row r="65" spans="1:1" ht="15.6" x14ac:dyDescent="0.3">
      <c r="A65" s="63" t="s">
        <v>120</v>
      </c>
    </row>
    <row r="66" spans="1:1" ht="15.6" x14ac:dyDescent="0.3">
      <c r="A66" s="63" t="s">
        <v>121</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F27EF4-099D-4ADF-B10D-1FEC32B9DEF4}">
  <sheetPr>
    <tabColor rgb="FF00B050"/>
  </sheetPr>
  <dimension ref="A1:AG133"/>
  <sheetViews>
    <sheetView workbookViewId="0">
      <selection activeCell="C3" sqref="C3"/>
    </sheetView>
  </sheetViews>
  <sheetFormatPr defaultRowHeight="14.4" x14ac:dyDescent="0.3"/>
  <cols>
    <col min="1" max="1" width="12.33203125" bestFit="1" customWidth="1"/>
    <col min="2" max="2" width="15.77734375" bestFit="1" customWidth="1"/>
    <col min="3" max="3" width="12.44140625" bestFit="1" customWidth="1"/>
    <col min="4" max="4" width="10.5546875" bestFit="1" customWidth="1"/>
    <col min="5" max="5" width="4.5546875" bestFit="1" customWidth="1"/>
    <col min="6" max="6" width="11.88671875" bestFit="1" customWidth="1"/>
    <col min="7" max="7" width="12.33203125" bestFit="1" customWidth="1"/>
    <col min="8" max="8" width="10.6640625" bestFit="1" customWidth="1"/>
    <col min="9" max="9" width="8" bestFit="1" customWidth="1"/>
    <col min="10" max="10" width="10.5546875" bestFit="1" customWidth="1"/>
    <col min="11" max="11" width="10.6640625" bestFit="1" customWidth="1"/>
    <col min="12" max="12" width="12.88671875" bestFit="1" customWidth="1"/>
    <col min="13" max="13" width="4.5546875" bestFit="1" customWidth="1"/>
    <col min="14" max="14" width="10.5546875" bestFit="1" customWidth="1"/>
    <col min="15" max="15" width="5.5546875" bestFit="1" customWidth="1"/>
    <col min="16" max="16" width="14.77734375" bestFit="1" customWidth="1"/>
    <col min="17" max="17" width="11.88671875" bestFit="1" customWidth="1"/>
    <col min="18" max="18" width="14.77734375" bestFit="1" customWidth="1"/>
    <col min="19" max="19" width="12.88671875" bestFit="1" customWidth="1"/>
    <col min="20" max="20" width="18" bestFit="1" customWidth="1"/>
    <col min="21" max="21" width="10.5546875" bestFit="1" customWidth="1"/>
    <col min="22" max="22" width="11.88671875" bestFit="1" customWidth="1"/>
    <col min="23" max="23" width="11.5546875" bestFit="1" customWidth="1"/>
    <col min="24" max="24" width="18" bestFit="1" customWidth="1"/>
    <col min="25" max="25" width="10.5546875" bestFit="1" customWidth="1"/>
    <col min="26" max="26" width="11.88671875" bestFit="1" customWidth="1"/>
    <col min="27" max="27" width="11.5546875" bestFit="1" customWidth="1"/>
    <col min="28" max="28" width="18" bestFit="1" customWidth="1"/>
    <col min="31" max="31" width="10.5546875" bestFit="1" customWidth="1"/>
    <col min="32" max="32" width="12.88671875" bestFit="1" customWidth="1"/>
    <col min="33" max="33" width="18" bestFit="1" customWidth="1"/>
  </cols>
  <sheetData>
    <row r="1" spans="1:24" ht="15.6" x14ac:dyDescent="0.3">
      <c r="T1" s="14" t="s">
        <v>18</v>
      </c>
      <c r="U1" s="14" t="s">
        <v>17</v>
      </c>
      <c r="V1" t="s">
        <v>122</v>
      </c>
      <c r="X1" s="16" t="s">
        <v>123</v>
      </c>
    </row>
    <row r="2" spans="1:24" ht="15.6" x14ac:dyDescent="0.3">
      <c r="A2" t="s">
        <v>124</v>
      </c>
      <c r="C2" t="s">
        <v>72</v>
      </c>
      <c r="E2" s="60" t="s">
        <v>125</v>
      </c>
      <c r="G2" t="s">
        <v>126</v>
      </c>
      <c r="H2" t="s">
        <v>127</v>
      </c>
      <c r="J2" s="60" t="s">
        <v>128</v>
      </c>
      <c r="L2" t="s">
        <v>129</v>
      </c>
      <c r="M2" t="s">
        <v>130</v>
      </c>
      <c r="O2" s="60" t="s">
        <v>131</v>
      </c>
      <c r="Q2" t="s">
        <v>126</v>
      </c>
      <c r="R2" t="s">
        <v>132</v>
      </c>
      <c r="T2" t="s">
        <v>133</v>
      </c>
      <c r="U2" t="s">
        <v>134</v>
      </c>
      <c r="V2" s="41">
        <v>5.1169200000000004</v>
      </c>
      <c r="X2" s="43" t="s">
        <v>135</v>
      </c>
    </row>
    <row r="3" spans="1:24" ht="15.6" x14ac:dyDescent="0.3">
      <c r="A3" s="56">
        <v>261166.32000000004</v>
      </c>
      <c r="C3" s="56">
        <v>1042479.6899999998</v>
      </c>
      <c r="E3" s="41">
        <f>GETPIVOTDATA("Profit",$G$2)/GETPIVOTDATA("Spent",$G$2)</f>
        <v>2.9916314247564531</v>
      </c>
      <c r="G3">
        <v>261166.32000000004</v>
      </c>
      <c r="H3">
        <v>781313.36999999988</v>
      </c>
      <c r="J3" s="41">
        <f>GETPIVOTDATA("Conversions-",$L$2)/GETPIVOTDATA("Clicks-",$L$2)</f>
        <v>4.5218230218140892E-2</v>
      </c>
      <c r="L3" s="18">
        <v>55973</v>
      </c>
      <c r="M3" s="18">
        <v>2531</v>
      </c>
      <c r="O3" s="37">
        <f>GETPIVOTDATA("Revenue-",$Q$2)/GETPIVOTDATA("Spent",$Q$2)</f>
        <v>3.9916314247564531</v>
      </c>
      <c r="Q3" s="18">
        <v>261166.32000000004</v>
      </c>
      <c r="R3" s="18">
        <v>1042479.6899999998</v>
      </c>
      <c r="U3" t="s">
        <v>136</v>
      </c>
      <c r="V3" s="41">
        <v>4.296475</v>
      </c>
      <c r="W3" s="16"/>
      <c r="X3" s="59" t="s">
        <v>137</v>
      </c>
    </row>
    <row r="4" spans="1:24" ht="15.6" x14ac:dyDescent="0.3">
      <c r="A4" s="87">
        <f>GETPIVOTDATA("Spent",$A$2)</f>
        <v>261166.32000000004</v>
      </c>
      <c r="C4" s="87">
        <f>C3</f>
        <v>1042479.6899999998</v>
      </c>
      <c r="G4" s="61">
        <f>H3/G3</f>
        <v>2.9916314247564531</v>
      </c>
      <c r="L4" s="61">
        <f>M3/L3</f>
        <v>4.5218230218140892E-2</v>
      </c>
      <c r="Q4" s="62">
        <f>R3/Q3</f>
        <v>3.9916314247564531</v>
      </c>
      <c r="U4" t="s">
        <v>138</v>
      </c>
      <c r="V4" s="41">
        <v>7.6205999999999996</v>
      </c>
      <c r="X4" s="43" t="s">
        <v>139</v>
      </c>
    </row>
    <row r="5" spans="1:24" ht="15.6" x14ac:dyDescent="0.3">
      <c r="N5" s="41"/>
      <c r="U5" t="s">
        <v>140</v>
      </c>
      <c r="V5" s="41">
        <v>4.2862799999999996</v>
      </c>
      <c r="W5" s="58"/>
      <c r="X5" s="43" t="s">
        <v>141</v>
      </c>
    </row>
    <row r="6" spans="1:24" ht="15.6" x14ac:dyDescent="0.3">
      <c r="A6" s="14" t="s">
        <v>3</v>
      </c>
      <c r="B6" t="s">
        <v>142</v>
      </c>
      <c r="D6" s="14" t="s">
        <v>1</v>
      </c>
      <c r="E6" t="s">
        <v>142</v>
      </c>
      <c r="F6" t="s">
        <v>143</v>
      </c>
      <c r="G6" s="14" t="s">
        <v>2</v>
      </c>
      <c r="H6" t="s">
        <v>142</v>
      </c>
      <c r="J6" s="14" t="s">
        <v>4</v>
      </c>
      <c r="K6" t="s">
        <v>142</v>
      </c>
      <c r="M6" s="60" t="s">
        <v>144</v>
      </c>
      <c r="N6" s="60" t="s">
        <v>145</v>
      </c>
      <c r="U6" t="s">
        <v>146</v>
      </c>
      <c r="V6" s="41">
        <v>6.0614250000000007</v>
      </c>
      <c r="X6" s="43" t="s">
        <v>147</v>
      </c>
    </row>
    <row r="7" spans="1:24" ht="15.6" x14ac:dyDescent="0.3">
      <c r="A7" t="s">
        <v>30</v>
      </c>
      <c r="B7" s="18">
        <v>55923.02</v>
      </c>
      <c r="D7" t="s">
        <v>23</v>
      </c>
      <c r="E7" s="18">
        <v>69841.670000000013</v>
      </c>
      <c r="F7" s="18">
        <v>308543.80999999994</v>
      </c>
      <c r="G7" t="s">
        <v>32</v>
      </c>
      <c r="H7" s="18">
        <v>58368.759999999987</v>
      </c>
      <c r="J7" t="s">
        <v>29</v>
      </c>
      <c r="K7" s="18">
        <v>81917.239999999991</v>
      </c>
      <c r="M7" s="41">
        <f>(S10/S9)-1</f>
        <v>-0.22735778585660715</v>
      </c>
      <c r="N7" s="41">
        <f>(V25/V24)-1</f>
        <v>1.1462363085527851</v>
      </c>
      <c r="U7" t="s">
        <v>148</v>
      </c>
      <c r="V7" s="41">
        <v>3.30165</v>
      </c>
      <c r="W7" s="58"/>
      <c r="X7" s="43" t="s">
        <v>149</v>
      </c>
    </row>
    <row r="8" spans="1:24" ht="15.6" x14ac:dyDescent="0.3">
      <c r="A8" t="s">
        <v>21</v>
      </c>
      <c r="B8" s="18">
        <v>79171.51999999999</v>
      </c>
      <c r="D8" t="s">
        <v>19</v>
      </c>
      <c r="E8" s="18">
        <v>67187.740000000005</v>
      </c>
      <c r="F8" s="18">
        <v>266923.58</v>
      </c>
      <c r="G8" t="s">
        <v>27</v>
      </c>
      <c r="H8" s="18">
        <v>74135.669999999984</v>
      </c>
      <c r="J8" t="s">
        <v>26</v>
      </c>
      <c r="K8" s="18">
        <v>70186.39</v>
      </c>
      <c r="L8" s="18"/>
      <c r="N8" s="41"/>
      <c r="R8" s="14" t="s">
        <v>18</v>
      </c>
      <c r="S8" t="s">
        <v>122</v>
      </c>
      <c r="U8" t="s">
        <v>150</v>
      </c>
      <c r="V8" s="41">
        <v>8.2101799999999994</v>
      </c>
      <c r="X8" s="43" t="s">
        <v>151</v>
      </c>
    </row>
    <row r="9" spans="1:24" ht="15.6" x14ac:dyDescent="0.3">
      <c r="A9" t="s">
        <v>24</v>
      </c>
      <c r="B9" s="18">
        <v>57352.719999999987</v>
      </c>
      <c r="D9" t="s">
        <v>31</v>
      </c>
      <c r="E9" s="18">
        <v>47727.48</v>
      </c>
      <c r="F9" s="18">
        <v>160892.81000000003</v>
      </c>
      <c r="G9" t="s">
        <v>20</v>
      </c>
      <c r="H9" s="18">
        <v>74208.400000000009</v>
      </c>
      <c r="J9" t="s">
        <v>33</v>
      </c>
      <c r="K9" s="18">
        <v>48026.85</v>
      </c>
      <c r="M9" t="s">
        <v>152</v>
      </c>
      <c r="O9" t="s">
        <v>153</v>
      </c>
      <c r="R9" t="s">
        <v>133</v>
      </c>
      <c r="S9" s="41">
        <v>5.0116698113207558</v>
      </c>
      <c r="U9" t="s">
        <v>154</v>
      </c>
      <c r="V9" s="41">
        <v>8.9288000000000007</v>
      </c>
      <c r="X9" s="43" t="s">
        <v>155</v>
      </c>
    </row>
    <row r="10" spans="1:24" ht="15.6" x14ac:dyDescent="0.3">
      <c r="A10" t="s">
        <v>28</v>
      </c>
      <c r="B10" s="18">
        <v>68719.06</v>
      </c>
      <c r="D10" t="s">
        <v>34</v>
      </c>
      <c r="E10" s="18">
        <v>76409.430000000008</v>
      </c>
      <c r="F10" s="18">
        <v>306119.49</v>
      </c>
      <c r="G10" t="s">
        <v>25</v>
      </c>
      <c r="H10" s="18">
        <v>54453.49</v>
      </c>
      <c r="J10" t="s">
        <v>22</v>
      </c>
      <c r="K10" s="18">
        <v>61035.839999999997</v>
      </c>
      <c r="M10" s="41">
        <v>0.13863799999999998</v>
      </c>
      <c r="O10" s="37">
        <v>6.5706999999999987</v>
      </c>
      <c r="R10" t="s">
        <v>156</v>
      </c>
      <c r="S10" s="41">
        <v>3.8722276595744685</v>
      </c>
      <c r="U10" t="s">
        <v>157</v>
      </c>
      <c r="V10" s="41">
        <v>1.7304999999999999</v>
      </c>
      <c r="X10" s="43" t="s">
        <v>158</v>
      </c>
    </row>
    <row r="11" spans="1:24" x14ac:dyDescent="0.3">
      <c r="A11" t="s">
        <v>159</v>
      </c>
      <c r="B11" s="18">
        <v>261166.31999999995</v>
      </c>
      <c r="D11" t="s">
        <v>159</v>
      </c>
      <c r="E11" s="18">
        <v>261166.32000000007</v>
      </c>
      <c r="F11" s="18">
        <v>1042479.69</v>
      </c>
      <c r="G11" t="s">
        <v>159</v>
      </c>
      <c r="H11" s="18">
        <v>261166.31999999995</v>
      </c>
      <c r="J11" t="s">
        <v>159</v>
      </c>
      <c r="K11" s="18">
        <v>261166.32</v>
      </c>
      <c r="M11" s="61">
        <f>M10</f>
        <v>0.13863799999999998</v>
      </c>
      <c r="O11" s="62">
        <f>O10</f>
        <v>6.5706999999999987</v>
      </c>
      <c r="R11" t="s">
        <v>159</v>
      </c>
      <c r="S11" s="41">
        <v>4.4761319999999998</v>
      </c>
      <c r="U11" t="s">
        <v>160</v>
      </c>
      <c r="V11" s="41">
        <v>3.3937199999999996</v>
      </c>
    </row>
    <row r="12" spans="1:24" ht="18" x14ac:dyDescent="0.35">
      <c r="U12" t="s">
        <v>161</v>
      </c>
      <c r="V12" s="41">
        <v>6.7892000000000001</v>
      </c>
      <c r="X12" s="65" t="s">
        <v>162</v>
      </c>
    </row>
    <row r="13" spans="1:24" ht="15.6" x14ac:dyDescent="0.3">
      <c r="U13" t="s">
        <v>163</v>
      </c>
      <c r="V13" s="41">
        <v>1.13368</v>
      </c>
      <c r="X13" s="63" t="s">
        <v>164</v>
      </c>
    </row>
    <row r="14" spans="1:24" ht="15.6" x14ac:dyDescent="0.3">
      <c r="A14" s="14" t="s">
        <v>3</v>
      </c>
      <c r="B14" t="s">
        <v>142</v>
      </c>
      <c r="C14" t="s">
        <v>143</v>
      </c>
      <c r="D14" s="14" t="s">
        <v>1</v>
      </c>
      <c r="E14" t="s">
        <v>143</v>
      </c>
      <c r="G14" s="14" t="s">
        <v>2</v>
      </c>
      <c r="H14" t="s">
        <v>142</v>
      </c>
      <c r="I14" t="s">
        <v>143</v>
      </c>
      <c r="J14" s="14" t="s">
        <v>4</v>
      </c>
      <c r="K14" t="s">
        <v>143</v>
      </c>
      <c r="T14" t="s">
        <v>165</v>
      </c>
      <c r="V14" s="41">
        <v>5.0116698113207558</v>
      </c>
      <c r="X14" s="64" t="s">
        <v>166</v>
      </c>
    </row>
    <row r="15" spans="1:24" ht="15.6" x14ac:dyDescent="0.3">
      <c r="A15" t="s">
        <v>30</v>
      </c>
      <c r="B15" s="18">
        <v>55923.02</v>
      </c>
      <c r="C15" s="18">
        <v>175503.28000000003</v>
      </c>
      <c r="D15" t="s">
        <v>23</v>
      </c>
      <c r="E15" s="18">
        <v>308543.80999999994</v>
      </c>
      <c r="G15" t="s">
        <v>32</v>
      </c>
      <c r="H15" s="18">
        <v>58368.759999999987</v>
      </c>
      <c r="I15" s="18">
        <v>219967.14999999994</v>
      </c>
      <c r="J15" t="s">
        <v>29</v>
      </c>
      <c r="K15" s="18">
        <v>301440.9499999999</v>
      </c>
      <c r="T15" t="s">
        <v>156</v>
      </c>
      <c r="U15" t="s">
        <v>134</v>
      </c>
      <c r="V15" s="41">
        <v>4.3219249999999994</v>
      </c>
      <c r="X15" s="63" t="s">
        <v>167</v>
      </c>
    </row>
    <row r="16" spans="1:24" ht="15.6" x14ac:dyDescent="0.3">
      <c r="A16" t="s">
        <v>21</v>
      </c>
      <c r="B16" s="18">
        <v>79171.51999999999</v>
      </c>
      <c r="C16" s="18">
        <v>302491.69999999995</v>
      </c>
      <c r="D16" t="s">
        <v>19</v>
      </c>
      <c r="E16" s="18">
        <v>266923.58</v>
      </c>
      <c r="G16" t="s">
        <v>27</v>
      </c>
      <c r="H16" s="18">
        <v>74135.669999999984</v>
      </c>
      <c r="I16" s="18">
        <v>263435.47999999992</v>
      </c>
      <c r="J16" t="s">
        <v>26</v>
      </c>
      <c r="K16" s="18">
        <v>224121.36000000002</v>
      </c>
      <c r="U16" t="s">
        <v>136</v>
      </c>
      <c r="V16" s="41">
        <v>4.3588999999999993</v>
      </c>
      <c r="X16" s="63" t="s">
        <v>168</v>
      </c>
    </row>
    <row r="17" spans="1:24" ht="15.6" x14ac:dyDescent="0.3">
      <c r="A17" t="s">
        <v>24</v>
      </c>
      <c r="B17" s="18">
        <v>57352.719999999987</v>
      </c>
      <c r="C17" s="18">
        <v>269164.12999999995</v>
      </c>
      <c r="D17" t="s">
        <v>31</v>
      </c>
      <c r="E17" s="18">
        <v>160892.81000000003</v>
      </c>
      <c r="G17" t="s">
        <v>20</v>
      </c>
      <c r="H17" s="18">
        <v>74208.400000000009</v>
      </c>
      <c r="I17" s="18">
        <v>345183.16</v>
      </c>
      <c r="J17" t="s">
        <v>33</v>
      </c>
      <c r="K17" s="18">
        <v>267845.69999999995</v>
      </c>
      <c r="L17" s="18"/>
      <c r="U17" t="s">
        <v>138</v>
      </c>
      <c r="V17" s="41">
        <v>7.3754400000000002</v>
      </c>
      <c r="X17" s="63" t="s">
        <v>169</v>
      </c>
    </row>
    <row r="18" spans="1:24" ht="15.6" x14ac:dyDescent="0.3">
      <c r="A18" t="s">
        <v>28</v>
      </c>
      <c r="B18" s="18">
        <v>68719.06</v>
      </c>
      <c r="C18" s="18">
        <v>295320.58</v>
      </c>
      <c r="D18" t="s">
        <v>34</v>
      </c>
      <c r="E18" s="18">
        <v>306119.49</v>
      </c>
      <c r="G18" t="s">
        <v>25</v>
      </c>
      <c r="H18" s="18">
        <v>54453.49</v>
      </c>
      <c r="I18" s="18">
        <v>213893.9</v>
      </c>
      <c r="J18" t="s">
        <v>22</v>
      </c>
      <c r="K18" s="18">
        <v>249071.68</v>
      </c>
      <c r="L18" s="18"/>
      <c r="U18" t="s">
        <v>140</v>
      </c>
      <c r="V18" s="41">
        <v>1.8595000000000002</v>
      </c>
      <c r="X18" s="64" t="s">
        <v>170</v>
      </c>
    </row>
    <row r="19" spans="1:24" ht="15.6" x14ac:dyDescent="0.3">
      <c r="A19" t="s">
        <v>159</v>
      </c>
      <c r="B19" s="18">
        <v>261166.31999999995</v>
      </c>
      <c r="C19" s="18">
        <v>1042479.69</v>
      </c>
      <c r="D19" t="s">
        <v>159</v>
      </c>
      <c r="E19" s="18">
        <v>1042479.69</v>
      </c>
      <c r="G19" t="s">
        <v>159</v>
      </c>
      <c r="H19" s="18">
        <v>261166.31999999995</v>
      </c>
      <c r="I19" s="18">
        <v>1042479.6899999998</v>
      </c>
      <c r="J19" t="s">
        <v>159</v>
      </c>
      <c r="K19" s="18">
        <v>1042479.69</v>
      </c>
      <c r="L19" s="18"/>
      <c r="U19" t="s">
        <v>146</v>
      </c>
      <c r="V19" s="41">
        <v>1.510275</v>
      </c>
      <c r="X19" s="63" t="s">
        <v>167</v>
      </c>
    </row>
    <row r="20" spans="1:24" ht="15.6" x14ac:dyDescent="0.3">
      <c r="U20" t="s">
        <v>148</v>
      </c>
      <c r="V20" s="41">
        <v>1.7784999999999997</v>
      </c>
      <c r="X20" s="63" t="s">
        <v>171</v>
      </c>
    </row>
    <row r="21" spans="1:24" ht="15.6" x14ac:dyDescent="0.3">
      <c r="U21" t="s">
        <v>150</v>
      </c>
      <c r="V21" s="41">
        <v>3.10345</v>
      </c>
      <c r="X21" s="63" t="s">
        <v>169</v>
      </c>
    </row>
    <row r="22" spans="1:24" ht="16.2" thickBot="1" x14ac:dyDescent="0.35">
      <c r="A22" s="14" t="s">
        <v>3</v>
      </c>
      <c r="B22" t="s">
        <v>172</v>
      </c>
      <c r="D22" s="14" t="s">
        <v>4</v>
      </c>
      <c r="E22" t="s">
        <v>172</v>
      </c>
      <c r="G22" s="14" t="s">
        <v>3</v>
      </c>
      <c r="H22" t="s">
        <v>173</v>
      </c>
      <c r="J22" s="14" t="s">
        <v>4</v>
      </c>
      <c r="K22" t="s">
        <v>173</v>
      </c>
      <c r="U22" t="s">
        <v>154</v>
      </c>
      <c r="V22" s="41">
        <v>4.3729750000000003</v>
      </c>
      <c r="X22" s="63" t="s">
        <v>174</v>
      </c>
    </row>
    <row r="23" spans="1:24" ht="16.2" thickBot="1" x14ac:dyDescent="0.35">
      <c r="A23" t="s">
        <v>30</v>
      </c>
      <c r="B23" s="18">
        <v>116868</v>
      </c>
      <c r="D23" t="s">
        <v>29</v>
      </c>
      <c r="E23" s="18">
        <v>177954</v>
      </c>
      <c r="G23" t="s">
        <v>30</v>
      </c>
      <c r="H23" s="18">
        <v>10582</v>
      </c>
      <c r="J23" t="s">
        <v>29</v>
      </c>
      <c r="K23" s="18">
        <v>17570</v>
      </c>
      <c r="L23" s="18"/>
      <c r="N23" s="47" t="s">
        <v>3</v>
      </c>
      <c r="O23" s="48" t="s">
        <v>175</v>
      </c>
      <c r="U23" t="s">
        <v>157</v>
      </c>
      <c r="V23" s="41">
        <v>4.0631000000000004</v>
      </c>
      <c r="X23" s="63" t="s">
        <v>176</v>
      </c>
    </row>
    <row r="24" spans="1:24" ht="16.2" thickBot="1" x14ac:dyDescent="0.35">
      <c r="A24" t="s">
        <v>21</v>
      </c>
      <c r="B24" s="18">
        <v>180263</v>
      </c>
      <c r="D24" t="s">
        <v>26</v>
      </c>
      <c r="E24" s="18">
        <v>122563</v>
      </c>
      <c r="G24" t="s">
        <v>21</v>
      </c>
      <c r="H24" s="18">
        <v>18833</v>
      </c>
      <c r="J24" t="s">
        <v>26</v>
      </c>
      <c r="K24" s="18">
        <v>11979</v>
      </c>
      <c r="L24" s="18"/>
      <c r="N24" s="48" t="s">
        <v>30</v>
      </c>
      <c r="O24" s="49">
        <v>8.073601259415944E-2</v>
      </c>
      <c r="P24" s="46" t="s">
        <v>177</v>
      </c>
      <c r="U24" t="s">
        <v>160</v>
      </c>
      <c r="V24" s="41">
        <v>3.0036999999999998</v>
      </c>
      <c r="X24" s="63" t="s">
        <v>178</v>
      </c>
    </row>
    <row r="25" spans="1:24" ht="16.2" thickBot="1" x14ac:dyDescent="0.35">
      <c r="A25" t="s">
        <v>24</v>
      </c>
      <c r="B25" s="18">
        <v>137141</v>
      </c>
      <c r="D25" t="s">
        <v>33</v>
      </c>
      <c r="E25" s="18">
        <v>123263</v>
      </c>
      <c r="G25" t="s">
        <v>24</v>
      </c>
      <c r="H25" s="18">
        <v>14196</v>
      </c>
      <c r="J25" t="s">
        <v>33</v>
      </c>
      <c r="K25" s="18">
        <v>12444</v>
      </c>
      <c r="L25" s="18"/>
      <c r="N25" s="48" t="s">
        <v>21</v>
      </c>
      <c r="O25" s="49">
        <v>4.9313983869519198E-2</v>
      </c>
      <c r="U25" t="s">
        <v>161</v>
      </c>
      <c r="V25" s="41">
        <v>6.44665</v>
      </c>
      <c r="X25" s="63" t="s">
        <v>179</v>
      </c>
    </row>
    <row r="26" spans="1:24" ht="16.2" thickBot="1" x14ac:dyDescent="0.35">
      <c r="A26" t="s">
        <v>28</v>
      </c>
      <c r="B26" s="18">
        <v>135797</v>
      </c>
      <c r="D26" t="s">
        <v>22</v>
      </c>
      <c r="E26" s="18">
        <v>146289</v>
      </c>
      <c r="G26" t="s">
        <v>28</v>
      </c>
      <c r="H26" s="18">
        <v>12362</v>
      </c>
      <c r="J26" t="s">
        <v>22</v>
      </c>
      <c r="K26" s="18">
        <v>13980</v>
      </c>
      <c r="L26" s="18"/>
      <c r="N26" s="48" t="s">
        <v>24</v>
      </c>
      <c r="O26" s="49">
        <v>6.8313957003450304E-2</v>
      </c>
      <c r="T26" t="s">
        <v>180</v>
      </c>
      <c r="V26" s="41">
        <v>3.8722276595744685</v>
      </c>
      <c r="X26" s="63"/>
    </row>
    <row r="27" spans="1:24" ht="16.2" thickBot="1" x14ac:dyDescent="0.35">
      <c r="A27" t="s">
        <v>159</v>
      </c>
      <c r="B27" s="18">
        <v>570069</v>
      </c>
      <c r="D27" t="s">
        <v>159</v>
      </c>
      <c r="E27" s="18">
        <v>570069</v>
      </c>
      <c r="G27" t="s">
        <v>159</v>
      </c>
      <c r="H27" s="18">
        <v>55973</v>
      </c>
      <c r="J27" t="s">
        <v>159</v>
      </c>
      <c r="K27" s="18">
        <v>55973</v>
      </c>
      <c r="L27" s="18"/>
      <c r="N27" s="48" t="s">
        <v>28</v>
      </c>
      <c r="O27" s="49">
        <v>6.9151665597071379E-2</v>
      </c>
      <c r="T27" t="s">
        <v>159</v>
      </c>
      <c r="V27" s="41">
        <v>4.4761319999999998</v>
      </c>
      <c r="X27" s="63"/>
    </row>
    <row r="28" spans="1:24" ht="16.2" thickBot="1" x14ac:dyDescent="0.35">
      <c r="B28" s="18"/>
      <c r="E28" s="18"/>
      <c r="H28" s="18"/>
      <c r="K28" s="18"/>
      <c r="L28" s="18"/>
      <c r="N28" s="48" t="s">
        <v>159</v>
      </c>
      <c r="O28" s="49">
        <v>6.5307803329818059E-2</v>
      </c>
    </row>
    <row r="29" spans="1:24" ht="15" thickBot="1" x14ac:dyDescent="0.35"/>
    <row r="30" spans="1:24" ht="15" thickBot="1" x14ac:dyDescent="0.35">
      <c r="A30" s="14" t="s">
        <v>3</v>
      </c>
      <c r="B30" t="s">
        <v>181</v>
      </c>
      <c r="D30" s="14" t="s">
        <v>4</v>
      </c>
      <c r="E30" t="s">
        <v>181</v>
      </c>
      <c r="G30" s="47" t="s">
        <v>3</v>
      </c>
      <c r="H30" s="48" t="s">
        <v>175</v>
      </c>
      <c r="J30" s="29" t="s">
        <v>3</v>
      </c>
      <c r="K30" s="29" t="s">
        <v>128</v>
      </c>
      <c r="M30" s="29" t="s">
        <v>1</v>
      </c>
      <c r="N30" s="29" t="s">
        <v>128</v>
      </c>
      <c r="P30" s="29" t="s">
        <v>2</v>
      </c>
      <c r="Q30" s="29" t="s">
        <v>128</v>
      </c>
      <c r="S30" s="29" t="s">
        <v>4</v>
      </c>
      <c r="T30" s="29" t="s">
        <v>128</v>
      </c>
    </row>
    <row r="31" spans="1:24" ht="15" thickBot="1" x14ac:dyDescent="0.35">
      <c r="A31" t="s">
        <v>30</v>
      </c>
      <c r="B31" s="18">
        <v>594</v>
      </c>
      <c r="D31" t="s">
        <v>29</v>
      </c>
      <c r="E31" s="18">
        <v>836</v>
      </c>
      <c r="G31" s="48" t="s">
        <v>30</v>
      </c>
      <c r="H31" s="50">
        <v>8.073601259415944E-2</v>
      </c>
      <c r="J31" t="s">
        <v>30</v>
      </c>
      <c r="K31" s="41">
        <f>GETPIVOTDATA("Conversions-",$R$62,"Channel",$R63)/GETPIVOTDATA("Clicks-",$R$62,"Channel",$R63)</f>
        <v>5.6133056133056136E-2</v>
      </c>
      <c r="L31" s="41"/>
      <c r="M31" t="s">
        <v>23</v>
      </c>
      <c r="N31" s="41">
        <f>GETPIVOTDATA("Conversions-",$V$62,"Region",$V63)/GETPIVOTDATA("Clicks-",$V$62,"Region",$V63)</f>
        <v>4.4086449217714131E-2</v>
      </c>
      <c r="P31" t="s">
        <v>32</v>
      </c>
      <c r="Q31" s="41">
        <f>GETPIVOTDATA("Conversions-",$Z$62,"Product",$Z63)/GETPIVOTDATA("Clicks-",$Z$62,"Product",$Z63)</f>
        <v>3.6457659987071754E-2</v>
      </c>
      <c r="S31" t="s">
        <v>29</v>
      </c>
      <c r="T31" s="41">
        <f>GETPIVOTDATA("Conversions-",$AE$62,"Quarter",$AE63)/GETPIVOTDATA("Clicks-",$AE$62,"Quarter",$AE63)</f>
        <v>4.7581104154809331E-2</v>
      </c>
    </row>
    <row r="32" spans="1:24" ht="15" thickBot="1" x14ac:dyDescent="0.35">
      <c r="A32" t="s">
        <v>21</v>
      </c>
      <c r="B32" s="18">
        <v>693</v>
      </c>
      <c r="D32" t="s">
        <v>26</v>
      </c>
      <c r="E32" s="18">
        <v>552</v>
      </c>
      <c r="G32" s="48" t="s">
        <v>21</v>
      </c>
      <c r="H32" s="50">
        <v>4.9313983869519198E-2</v>
      </c>
      <c r="J32" t="s">
        <v>21</v>
      </c>
      <c r="K32" s="41">
        <f t="shared" ref="K32:K34" si="0">GETPIVOTDATA("Conversions-",$R$62,"Channel",$R64)/GETPIVOTDATA("Clicks-",$R$62,"Channel",$R64)</f>
        <v>3.6797111453300058E-2</v>
      </c>
      <c r="L32" s="41"/>
      <c r="M32" t="s">
        <v>19</v>
      </c>
      <c r="N32" s="41">
        <f t="shared" ref="N32:N34" si="1">GETPIVOTDATA("Conversions-",$V$62,"Region",$V64)/GETPIVOTDATA("Clicks-",$V$62,"Region",$V64)</f>
        <v>6.5265002190100743E-2</v>
      </c>
      <c r="P32" t="s">
        <v>27</v>
      </c>
      <c r="Q32" s="41">
        <f t="shared" ref="Q32:Q34" si="2">GETPIVOTDATA("Conversions-",$Z$62,"Product",$Z64)/GETPIVOTDATA("Clicks-",$Z$62,"Product",$Z64)</f>
        <v>4.8216141323172847E-2</v>
      </c>
      <c r="S32" t="s">
        <v>26</v>
      </c>
      <c r="T32" s="41">
        <f t="shared" ref="T32:T34" si="3">GETPIVOTDATA("Conversions-",$AE$62,"Quarter",$AE64)/GETPIVOTDATA("Clicks-",$AE$62,"Quarter",$AE64)</f>
        <v>4.6080641121963438E-2</v>
      </c>
    </row>
    <row r="33" spans="1:27" ht="15" thickBot="1" x14ac:dyDescent="0.35">
      <c r="A33" t="s">
        <v>24</v>
      </c>
      <c r="B33" s="18">
        <v>606</v>
      </c>
      <c r="D33" t="s">
        <v>33</v>
      </c>
      <c r="E33" s="18">
        <v>554</v>
      </c>
      <c r="G33" s="48" t="s">
        <v>24</v>
      </c>
      <c r="H33" s="50">
        <v>6.8313957003450304E-2</v>
      </c>
      <c r="J33" t="s">
        <v>24</v>
      </c>
      <c r="K33" s="41">
        <f t="shared" si="0"/>
        <v>4.2688081149619611E-2</v>
      </c>
      <c r="L33" s="41"/>
      <c r="M33" t="s">
        <v>31</v>
      </c>
      <c r="N33" s="41">
        <f t="shared" si="1"/>
        <v>2.7831575927121439E-2</v>
      </c>
      <c r="P33" t="s">
        <v>20</v>
      </c>
      <c r="Q33" s="41">
        <f t="shared" si="2"/>
        <v>4.9191195969238925E-2</v>
      </c>
      <c r="S33" t="s">
        <v>33</v>
      </c>
      <c r="T33" s="41">
        <f t="shared" si="3"/>
        <v>4.4519447123111539E-2</v>
      </c>
    </row>
    <row r="34" spans="1:27" ht="15" thickBot="1" x14ac:dyDescent="0.35">
      <c r="A34" t="s">
        <v>28</v>
      </c>
      <c r="B34" s="18">
        <v>638</v>
      </c>
      <c r="D34" t="s">
        <v>22</v>
      </c>
      <c r="E34" s="18">
        <v>589</v>
      </c>
      <c r="G34" s="48" t="s">
        <v>28</v>
      </c>
      <c r="H34" s="50">
        <v>6.9151665597071379E-2</v>
      </c>
      <c r="J34" t="s">
        <v>28</v>
      </c>
      <c r="K34" s="41">
        <f t="shared" si="0"/>
        <v>5.1609771881572564E-2</v>
      </c>
      <c r="L34" s="41"/>
      <c r="M34" t="s">
        <v>34</v>
      </c>
      <c r="N34" s="41">
        <f t="shared" si="1"/>
        <v>4.7189853859524886E-2</v>
      </c>
      <c r="P34" t="s">
        <v>25</v>
      </c>
      <c r="Q34" s="41">
        <f t="shared" si="2"/>
        <v>4.8160961398397671E-2</v>
      </c>
      <c r="S34" t="s">
        <v>22</v>
      </c>
      <c r="T34" s="41">
        <f t="shared" si="3"/>
        <v>4.213161659513591E-2</v>
      </c>
    </row>
    <row r="35" spans="1:27" ht="15" thickBot="1" x14ac:dyDescent="0.35">
      <c r="A35" t="s">
        <v>159</v>
      </c>
      <c r="B35" s="18">
        <v>2531</v>
      </c>
      <c r="D35" t="s">
        <v>159</v>
      </c>
      <c r="E35" s="18">
        <v>2531</v>
      </c>
      <c r="G35" s="48" t="s">
        <v>159</v>
      </c>
      <c r="H35" s="50">
        <v>6.5307803329818059E-2</v>
      </c>
    </row>
    <row r="37" spans="1:27" ht="15.6" x14ac:dyDescent="0.3">
      <c r="M37" s="43" t="s">
        <v>182</v>
      </c>
    </row>
    <row r="38" spans="1:27" x14ac:dyDescent="0.3">
      <c r="A38" s="29" t="s">
        <v>3</v>
      </c>
      <c r="B38" s="29" t="s">
        <v>76</v>
      </c>
      <c r="D38" s="29" t="s">
        <v>1</v>
      </c>
      <c r="E38" s="29" t="s">
        <v>76</v>
      </c>
      <c r="G38" s="29" t="s">
        <v>2</v>
      </c>
      <c r="H38" s="29" t="s">
        <v>76</v>
      </c>
      <c r="J38" s="14" t="s">
        <v>4</v>
      </c>
      <c r="K38" s="29" t="s">
        <v>76</v>
      </c>
      <c r="M38" s="14" t="s">
        <v>3</v>
      </c>
      <c r="N38" t="s">
        <v>126</v>
      </c>
      <c r="O38" t="s">
        <v>127</v>
      </c>
      <c r="Q38" s="14" t="s">
        <v>1</v>
      </c>
      <c r="R38" t="s">
        <v>126</v>
      </c>
      <c r="S38" t="s">
        <v>127</v>
      </c>
      <c r="U38" s="14" t="s">
        <v>2</v>
      </c>
      <c r="V38" t="s">
        <v>126</v>
      </c>
      <c r="W38" t="s">
        <v>127</v>
      </c>
      <c r="Y38" s="14" t="s">
        <v>4</v>
      </c>
      <c r="Z38" t="s">
        <v>126</v>
      </c>
      <c r="AA38" t="s">
        <v>127</v>
      </c>
    </row>
    <row r="39" spans="1:27" x14ac:dyDescent="0.3">
      <c r="A39" t="s">
        <v>30</v>
      </c>
      <c r="B39" s="41">
        <f>GETPIVOTDATA("Profit",$M$38,"Channel",$M39)/GETPIVOTDATA("Spent",$M$38,"Channel",$M39)</f>
        <v>2.1383011861662693</v>
      </c>
      <c r="D39" t="s">
        <v>23</v>
      </c>
      <c r="E39" s="41">
        <f>GETPIVOTDATA("Profit",$Q$38,"Region",$Q39)/GETPIVOTDATA("Spent",$Q$38,"Region",$Q39)</f>
        <v>3.4177610586917515</v>
      </c>
      <c r="G39" t="s">
        <v>32</v>
      </c>
      <c r="H39" s="41">
        <f>GETPIVOTDATA("Profit",$U$38,"Product",$U39)/GETPIVOTDATA("Spent",$U$38,"Product",$U39)</f>
        <v>2.7685767180937204</v>
      </c>
      <c r="J39" t="s">
        <v>29</v>
      </c>
      <c r="K39" s="41">
        <f>GETPIVOTDATA("Profit",$Y$38,"Quarter",$Y39)/GETPIVOTDATA("Spent",$Y$38,"Quarter",$Y39)</f>
        <v>2.679823075093839</v>
      </c>
      <c r="L39" s="41"/>
      <c r="M39" t="s">
        <v>30</v>
      </c>
      <c r="N39">
        <v>55923.02</v>
      </c>
      <c r="O39">
        <v>119580.26</v>
      </c>
      <c r="Q39" t="s">
        <v>23</v>
      </c>
      <c r="R39">
        <v>69841.670000000013</v>
      </c>
      <c r="S39">
        <v>238702.13999999998</v>
      </c>
      <c r="U39" t="s">
        <v>32</v>
      </c>
      <c r="V39">
        <v>58368.759999999987</v>
      </c>
      <c r="W39">
        <v>161598.38999999998</v>
      </c>
      <c r="Y39" t="s">
        <v>29</v>
      </c>
      <c r="Z39">
        <v>81917.239999999991</v>
      </c>
      <c r="AA39">
        <v>219523.71000000002</v>
      </c>
    </row>
    <row r="40" spans="1:27" x14ac:dyDescent="0.3">
      <c r="A40" t="s">
        <v>21</v>
      </c>
      <c r="B40" s="41">
        <f>GETPIVOTDATA("Profit",$M$38,"Channel",$M40)/GETPIVOTDATA("Spent",$M$38,"Channel",$M40)</f>
        <v>2.8207135596234614</v>
      </c>
      <c r="D40" t="s">
        <v>19</v>
      </c>
      <c r="E40" s="41">
        <f t="shared" ref="E40:E42" si="4">GETPIVOTDATA("Profit",$Q$38,"Region",$Q40)/GETPIVOTDATA("Spent",$Q$38,"Region",$Q40)</f>
        <v>2.9728018832007148</v>
      </c>
      <c r="G40" t="s">
        <v>27</v>
      </c>
      <c r="H40" s="41">
        <f t="shared" ref="H40:H42" si="5">GETPIVOTDATA("Profit",$U$38,"Product",$U40)/GETPIVOTDATA("Spent",$U$38,"Product",$U40)</f>
        <v>2.5534241479169206</v>
      </c>
      <c r="J40" t="s">
        <v>26</v>
      </c>
      <c r="K40" s="41">
        <f t="shared" ref="K40:K42" si="6">GETPIVOTDATA("Profit",$Y$38,"Quarter",$Y40)/GETPIVOTDATA("Spent",$Y$38,"Quarter",$Y40)</f>
        <v>2.1932310523450491</v>
      </c>
      <c r="L40" s="41"/>
      <c r="M40" t="s">
        <v>21</v>
      </c>
      <c r="N40">
        <v>79171.51999999999</v>
      </c>
      <c r="O40">
        <v>223320.18000000002</v>
      </c>
      <c r="Q40" t="s">
        <v>19</v>
      </c>
      <c r="R40">
        <v>67187.740000000005</v>
      </c>
      <c r="S40">
        <v>199735.84</v>
      </c>
      <c r="U40" t="s">
        <v>27</v>
      </c>
      <c r="V40">
        <v>74135.669999999984</v>
      </c>
      <c r="W40">
        <v>189299.80999999997</v>
      </c>
      <c r="Y40" t="s">
        <v>26</v>
      </c>
      <c r="Z40">
        <v>70186.39</v>
      </c>
      <c r="AA40">
        <v>153934.97000000003</v>
      </c>
    </row>
    <row r="41" spans="1:27" x14ac:dyDescent="0.3">
      <c r="A41" t="s">
        <v>24</v>
      </c>
      <c r="B41" s="41">
        <f>GETPIVOTDATA("Profit",$M$38,"Channel",$M41)/GETPIVOTDATA("Spent",$M$38,"Channel",$M41)</f>
        <v>3.6931362627613842</v>
      </c>
      <c r="D41" t="s">
        <v>31</v>
      </c>
      <c r="E41" s="41">
        <f t="shared" si="4"/>
        <v>2.3710728075314265</v>
      </c>
      <c r="G41" t="s">
        <v>20</v>
      </c>
      <c r="H41" s="41">
        <f t="shared" si="5"/>
        <v>3.651537561785458</v>
      </c>
      <c r="J41" t="s">
        <v>33</v>
      </c>
      <c r="K41" s="41">
        <f t="shared" si="6"/>
        <v>4.5769991161194206</v>
      </c>
      <c r="L41" s="41"/>
      <c r="M41" t="s">
        <v>24</v>
      </c>
      <c r="N41">
        <v>57352.719999999987</v>
      </c>
      <c r="O41">
        <v>211811.41000000003</v>
      </c>
      <c r="Q41" t="s">
        <v>31</v>
      </c>
      <c r="R41">
        <v>47727.48</v>
      </c>
      <c r="S41">
        <v>113165.33000000002</v>
      </c>
      <c r="U41" t="s">
        <v>20</v>
      </c>
      <c r="V41">
        <v>74208.400000000009</v>
      </c>
      <c r="W41">
        <v>270974.76</v>
      </c>
      <c r="Y41" t="s">
        <v>33</v>
      </c>
      <c r="Z41">
        <v>48026.85</v>
      </c>
      <c r="AA41">
        <v>219818.84999999998</v>
      </c>
    </row>
    <row r="42" spans="1:27" x14ac:dyDescent="0.3">
      <c r="A42" t="s">
        <v>28</v>
      </c>
      <c r="B42" s="41">
        <f>GETPIVOTDATA("Profit",$M$38,"Channel",$M42)/GETPIVOTDATA("Spent",$M$38,"Channel",$M42)</f>
        <v>3.2975061067482589</v>
      </c>
      <c r="D42" t="s">
        <v>34</v>
      </c>
      <c r="E42" s="41">
        <f t="shared" si="4"/>
        <v>3.0063051118166952</v>
      </c>
      <c r="G42" t="s">
        <v>25</v>
      </c>
      <c r="H42" s="41">
        <f t="shared" si="5"/>
        <v>2.928010858440846</v>
      </c>
      <c r="J42" t="s">
        <v>22</v>
      </c>
      <c r="K42" s="41">
        <f t="shared" si="6"/>
        <v>3.0807446903327631</v>
      </c>
      <c r="L42" s="41"/>
      <c r="M42" t="s">
        <v>28</v>
      </c>
      <c r="N42">
        <v>68719.06</v>
      </c>
      <c r="O42">
        <v>226601.52</v>
      </c>
      <c r="Q42" t="s">
        <v>34</v>
      </c>
      <c r="R42">
        <v>76409.430000000008</v>
      </c>
      <c r="S42">
        <v>229710.05999999997</v>
      </c>
      <c r="U42" t="s">
        <v>25</v>
      </c>
      <c r="V42">
        <v>54453.49</v>
      </c>
      <c r="W42">
        <v>159440.41</v>
      </c>
      <c r="Y42" t="s">
        <v>22</v>
      </c>
      <c r="Z42">
        <v>61035.839999999997</v>
      </c>
      <c r="AA42">
        <v>188035.84000000005</v>
      </c>
    </row>
    <row r="43" spans="1:27" x14ac:dyDescent="0.3">
      <c r="E43" s="41"/>
      <c r="J43" t="s">
        <v>159</v>
      </c>
      <c r="M43" t="s">
        <v>159</v>
      </c>
      <c r="N43">
        <v>261166.31999999995</v>
      </c>
      <c r="O43">
        <v>781313.37000000011</v>
      </c>
      <c r="Q43" t="s">
        <v>159</v>
      </c>
      <c r="R43">
        <v>261166.32000000007</v>
      </c>
      <c r="S43">
        <v>781313.37</v>
      </c>
      <c r="U43" t="s">
        <v>159</v>
      </c>
      <c r="V43">
        <v>261166.31999999995</v>
      </c>
      <c r="W43">
        <v>781313.37</v>
      </c>
      <c r="Y43" t="s">
        <v>159</v>
      </c>
      <c r="Z43">
        <v>261166.32</v>
      </c>
      <c r="AA43">
        <v>781313.37000000011</v>
      </c>
    </row>
    <row r="45" spans="1:27" x14ac:dyDescent="0.3">
      <c r="N45" s="57"/>
    </row>
    <row r="46" spans="1:27" ht="18" x14ac:dyDescent="0.35">
      <c r="A46" s="14" t="s">
        <v>3</v>
      </c>
      <c r="B46" t="s">
        <v>152</v>
      </c>
      <c r="C46" t="s">
        <v>153</v>
      </c>
      <c r="D46" s="14" t="s">
        <v>4</v>
      </c>
      <c r="E46" t="s">
        <v>152</v>
      </c>
      <c r="G46" s="14" t="s">
        <v>3</v>
      </c>
      <c r="H46" t="s">
        <v>153</v>
      </c>
      <c r="J46" s="14" t="s">
        <v>4</v>
      </c>
      <c r="K46" t="s">
        <v>153</v>
      </c>
      <c r="N46" s="77" t="s">
        <v>183</v>
      </c>
    </row>
    <row r="47" spans="1:27" x14ac:dyDescent="0.3">
      <c r="A47" t="s">
        <v>30</v>
      </c>
      <c r="B47" s="41">
        <v>0.132525</v>
      </c>
      <c r="C47" s="37">
        <v>8.3925000000000018</v>
      </c>
      <c r="D47" t="s">
        <v>29</v>
      </c>
      <c r="E47" s="41">
        <v>0.16300000000000003</v>
      </c>
      <c r="G47" t="s">
        <v>30</v>
      </c>
      <c r="H47" s="18">
        <v>8.3925000000000018</v>
      </c>
      <c r="J47" t="s">
        <v>29</v>
      </c>
      <c r="K47" s="18">
        <v>7.0084375000000012</v>
      </c>
      <c r="L47" s="18"/>
    </row>
    <row r="48" spans="1:27" x14ac:dyDescent="0.3">
      <c r="A48" t="s">
        <v>21</v>
      </c>
      <c r="B48" s="41">
        <v>0.14615666666666668</v>
      </c>
      <c r="C48" s="37">
        <v>5.625</v>
      </c>
      <c r="D48" t="s">
        <v>26</v>
      </c>
      <c r="E48" s="41">
        <v>0.14414090909090913</v>
      </c>
      <c r="G48" t="s">
        <v>21</v>
      </c>
      <c r="H48" s="18">
        <v>5.625</v>
      </c>
      <c r="J48" t="s">
        <v>26</v>
      </c>
      <c r="K48" s="18">
        <v>7.5777272727272722</v>
      </c>
      <c r="L48" s="18"/>
    </row>
    <row r="49" spans="1:33" x14ac:dyDescent="0.3">
      <c r="A49" t="s">
        <v>24</v>
      </c>
      <c r="B49" s="41">
        <v>0.16439999999999999</v>
      </c>
      <c r="C49" s="37">
        <v>5.4536000000000016</v>
      </c>
      <c r="D49" t="s">
        <v>33</v>
      </c>
      <c r="E49" s="41">
        <v>0.11958636363636366</v>
      </c>
      <c r="G49" t="s">
        <v>24</v>
      </c>
      <c r="H49" s="18">
        <v>5.4536000000000016</v>
      </c>
      <c r="J49" t="s">
        <v>33</v>
      </c>
      <c r="K49" s="18">
        <v>5.5927272727272728</v>
      </c>
      <c r="L49" s="18"/>
    </row>
    <row r="50" spans="1:33" x14ac:dyDescent="0.3">
      <c r="A50" t="s">
        <v>28</v>
      </c>
      <c r="B50" s="41">
        <v>0.10874400000000001</v>
      </c>
      <c r="C50" s="37">
        <v>7.3651999999999989</v>
      </c>
      <c r="D50" t="s">
        <v>22</v>
      </c>
      <c r="E50" s="41">
        <v>0.11857499999999999</v>
      </c>
      <c r="G50" t="s">
        <v>28</v>
      </c>
      <c r="H50" s="18">
        <v>7.3651999999999989</v>
      </c>
      <c r="J50" t="s">
        <v>22</v>
      </c>
      <c r="K50" s="18">
        <v>5.9604166666666671</v>
      </c>
      <c r="L50" s="18"/>
    </row>
    <row r="51" spans="1:33" x14ac:dyDescent="0.3">
      <c r="A51" t="s">
        <v>159</v>
      </c>
      <c r="B51" s="41">
        <v>0.13863799999999993</v>
      </c>
      <c r="C51" s="37">
        <v>6.5706999999999969</v>
      </c>
      <c r="D51" t="s">
        <v>159</v>
      </c>
      <c r="E51" s="41">
        <v>0.13863799999999998</v>
      </c>
      <c r="G51" t="s">
        <v>159</v>
      </c>
      <c r="H51" s="18">
        <v>6.5706999999999969</v>
      </c>
      <c r="J51" t="s">
        <v>159</v>
      </c>
      <c r="K51" s="18">
        <v>6.5707000000000004</v>
      </c>
      <c r="L51" s="18"/>
    </row>
    <row r="54" spans="1:33" ht="12.75" customHeight="1" x14ac:dyDescent="0.3"/>
    <row r="55" spans="1:33" x14ac:dyDescent="0.3">
      <c r="A55" s="29" t="s">
        <v>3</v>
      </c>
      <c r="B55" s="29" t="s">
        <v>131</v>
      </c>
      <c r="D55" s="29" t="s">
        <v>1</v>
      </c>
      <c r="E55" s="29" t="s">
        <v>131</v>
      </c>
      <c r="G55" s="29" t="s">
        <v>2</v>
      </c>
      <c r="H55" s="29" t="s">
        <v>131</v>
      </c>
      <c r="J55" s="29" t="s">
        <v>4</v>
      </c>
      <c r="K55" s="29" t="s">
        <v>131</v>
      </c>
      <c r="L55" s="55"/>
    </row>
    <row r="56" spans="1:33" x14ac:dyDescent="0.3">
      <c r="A56" t="s">
        <v>30</v>
      </c>
      <c r="B56" s="37">
        <f>GETPIVOTDATA("Revenue-",$A$62,"Channel",$A63)/GETPIVOTDATA("Spent",$A$62,"Channel",$A63)</f>
        <v>3.1383011861662697</v>
      </c>
      <c r="D56" t="s">
        <v>23</v>
      </c>
      <c r="E56" s="37">
        <f>GETPIVOTDATA("Revenue-",$E$62,"Region",$E63)/GETPIVOTDATA("Spent",$E$62,"Region",$E63)</f>
        <v>4.4177610586917506</v>
      </c>
      <c r="G56" t="s">
        <v>32</v>
      </c>
      <c r="H56" s="37">
        <f>GETPIVOTDATA("Revenue-",$I$62,"Product",$I63)/GETPIVOTDATA("Spent",$I$62,"Product",$I63)</f>
        <v>3.7685767180937195</v>
      </c>
      <c r="J56" t="s">
        <v>29</v>
      </c>
      <c r="K56" s="37">
        <f>GETPIVOTDATA("Revenue-",$N$62,"Quarter",$N63)/GETPIVOTDATA("Spent",$N$62,"Quarter",$N63)</f>
        <v>3.6798230750938377</v>
      </c>
      <c r="L56" s="37"/>
    </row>
    <row r="57" spans="1:33" x14ac:dyDescent="0.3">
      <c r="A57" t="s">
        <v>21</v>
      </c>
      <c r="B57" s="37">
        <f t="shared" ref="B57:B59" si="7">GETPIVOTDATA("Revenue-",$A$62,"Channel",$A64)/GETPIVOTDATA("Spent",$A$62,"Channel",$A64)</f>
        <v>3.8207135596234605</v>
      </c>
      <c r="D57" t="s">
        <v>19</v>
      </c>
      <c r="E57" s="37">
        <f t="shared" ref="E57:E59" si="8">GETPIVOTDATA("Revenue-",$E$62,"Region",$E64)/GETPIVOTDATA("Spent",$E$62,"Region",$E64)</f>
        <v>3.9728018832007148</v>
      </c>
      <c r="G57" t="s">
        <v>27</v>
      </c>
      <c r="H57" s="37">
        <f t="shared" ref="H57:H59" si="9">GETPIVOTDATA("Revenue-",$I$62,"Product",$I64)/GETPIVOTDATA("Spent",$I$62,"Product",$I64)</f>
        <v>3.5534241479169202</v>
      </c>
      <c r="J57" t="s">
        <v>26</v>
      </c>
      <c r="K57" s="37">
        <f t="shared" ref="K57:K59" si="10">GETPIVOTDATA("Revenue-",$N$62,"Quarter",$N64)/GETPIVOTDATA("Spent",$N$62,"Quarter",$N64)</f>
        <v>3.1932310523450491</v>
      </c>
      <c r="L57" s="37"/>
    </row>
    <row r="58" spans="1:33" x14ac:dyDescent="0.3">
      <c r="A58" t="s">
        <v>24</v>
      </c>
      <c r="B58" s="37">
        <f t="shared" si="7"/>
        <v>4.6931362627613824</v>
      </c>
      <c r="D58" t="s">
        <v>31</v>
      </c>
      <c r="E58" s="37">
        <f t="shared" si="8"/>
        <v>3.3710728075314265</v>
      </c>
      <c r="G58" t="s">
        <v>20</v>
      </c>
      <c r="H58" s="37">
        <f t="shared" si="9"/>
        <v>4.6515375617854575</v>
      </c>
      <c r="J58" t="s">
        <v>33</v>
      </c>
      <c r="K58" s="37">
        <f t="shared" si="10"/>
        <v>5.5769991161194197</v>
      </c>
      <c r="L58" s="37"/>
    </row>
    <row r="59" spans="1:33" x14ac:dyDescent="0.3">
      <c r="A59" t="s">
        <v>28</v>
      </c>
      <c r="B59" s="37">
        <f t="shared" si="7"/>
        <v>4.2975061067482594</v>
      </c>
      <c r="D59" t="s">
        <v>34</v>
      </c>
      <c r="E59" s="37">
        <f t="shared" si="8"/>
        <v>4.0063051118166957</v>
      </c>
      <c r="G59" t="s">
        <v>25</v>
      </c>
      <c r="H59" s="37">
        <f t="shared" si="9"/>
        <v>3.9280108584408455</v>
      </c>
      <c r="J59" t="s">
        <v>22</v>
      </c>
      <c r="K59" s="37">
        <f t="shared" si="10"/>
        <v>4.0807446903327618</v>
      </c>
      <c r="L59" s="37"/>
    </row>
    <row r="62" spans="1:33" x14ac:dyDescent="0.3">
      <c r="A62" s="14" t="s">
        <v>3</v>
      </c>
      <c r="B62" t="s">
        <v>126</v>
      </c>
      <c r="C62" t="s">
        <v>184</v>
      </c>
      <c r="E62" s="14" t="s">
        <v>1</v>
      </c>
      <c r="F62" t="s">
        <v>126</v>
      </c>
      <c r="G62" t="s">
        <v>132</v>
      </c>
      <c r="I62" s="14" t="s">
        <v>2</v>
      </c>
      <c r="J62" t="s">
        <v>126</v>
      </c>
      <c r="K62" t="s">
        <v>132</v>
      </c>
      <c r="N62" s="14" t="s">
        <v>4</v>
      </c>
      <c r="O62" t="s">
        <v>126</v>
      </c>
      <c r="P62" t="s">
        <v>132</v>
      </c>
      <c r="R62" s="14" t="s">
        <v>3</v>
      </c>
      <c r="S62" t="s">
        <v>129</v>
      </c>
      <c r="T62" t="s">
        <v>130</v>
      </c>
      <c r="V62" s="14" t="s">
        <v>1</v>
      </c>
      <c r="W62" t="s">
        <v>129</v>
      </c>
      <c r="X62" t="s">
        <v>130</v>
      </c>
      <c r="Z62" s="14" t="s">
        <v>2</v>
      </c>
      <c r="AA62" t="s">
        <v>129</v>
      </c>
      <c r="AB62" t="s">
        <v>130</v>
      </c>
      <c r="AE62" s="14" t="s">
        <v>4</v>
      </c>
      <c r="AF62" t="s">
        <v>129</v>
      </c>
      <c r="AG62" t="s">
        <v>130</v>
      </c>
    </row>
    <row r="63" spans="1:33" x14ac:dyDescent="0.3">
      <c r="A63" t="s">
        <v>30</v>
      </c>
      <c r="B63" s="18">
        <v>55923.02</v>
      </c>
      <c r="C63" s="18">
        <v>175503.28000000003</v>
      </c>
      <c r="E63" t="s">
        <v>23</v>
      </c>
      <c r="F63" s="18">
        <v>69841.670000000013</v>
      </c>
      <c r="G63" s="18">
        <v>308543.80999999994</v>
      </c>
      <c r="I63" t="s">
        <v>32</v>
      </c>
      <c r="J63" s="18">
        <v>58368.759999999987</v>
      </c>
      <c r="K63" s="18">
        <v>219967.14999999994</v>
      </c>
      <c r="L63" s="18"/>
      <c r="N63" t="s">
        <v>29</v>
      </c>
      <c r="O63" s="18">
        <v>81917.239999999991</v>
      </c>
      <c r="P63" s="18">
        <v>301440.9499999999</v>
      </c>
      <c r="R63" t="s">
        <v>30</v>
      </c>
      <c r="S63" s="18">
        <v>10582</v>
      </c>
      <c r="T63" s="18">
        <v>594</v>
      </c>
      <c r="V63" t="s">
        <v>23</v>
      </c>
      <c r="W63" s="18">
        <v>15084</v>
      </c>
      <c r="X63" s="18">
        <v>665</v>
      </c>
      <c r="Z63" t="s">
        <v>32</v>
      </c>
      <c r="AA63" s="18">
        <v>15470</v>
      </c>
      <c r="AB63" s="18">
        <v>564</v>
      </c>
      <c r="AE63" t="s">
        <v>29</v>
      </c>
      <c r="AF63" s="18">
        <v>17570</v>
      </c>
      <c r="AG63" s="18">
        <v>836</v>
      </c>
    </row>
    <row r="64" spans="1:33" x14ac:dyDescent="0.3">
      <c r="A64" t="s">
        <v>21</v>
      </c>
      <c r="B64" s="18">
        <v>79171.51999999999</v>
      </c>
      <c r="C64" s="18">
        <v>302491.69999999995</v>
      </c>
      <c r="E64" t="s">
        <v>19</v>
      </c>
      <c r="F64" s="18">
        <v>67187.740000000005</v>
      </c>
      <c r="G64" s="18">
        <v>266923.58</v>
      </c>
      <c r="I64" t="s">
        <v>27</v>
      </c>
      <c r="J64" s="18">
        <v>74135.669999999984</v>
      </c>
      <c r="K64" s="18">
        <v>263435.47999999992</v>
      </c>
      <c r="L64" s="18"/>
      <c r="N64" t="s">
        <v>26</v>
      </c>
      <c r="O64" s="18">
        <v>70186.39</v>
      </c>
      <c r="P64" s="18">
        <v>224121.36000000002</v>
      </c>
      <c r="R64" t="s">
        <v>21</v>
      </c>
      <c r="S64" s="18">
        <v>18833</v>
      </c>
      <c r="T64" s="18">
        <v>693</v>
      </c>
      <c r="V64" t="s">
        <v>19</v>
      </c>
      <c r="W64" s="18">
        <v>11415</v>
      </c>
      <c r="X64" s="18">
        <v>745</v>
      </c>
      <c r="Z64" t="s">
        <v>27</v>
      </c>
      <c r="AA64" s="18">
        <v>14435</v>
      </c>
      <c r="AB64" s="18">
        <v>696</v>
      </c>
      <c r="AE64" t="s">
        <v>26</v>
      </c>
      <c r="AF64" s="18">
        <v>11979</v>
      </c>
      <c r="AG64" s="18">
        <v>552</v>
      </c>
    </row>
    <row r="65" spans="1:33" x14ac:dyDescent="0.3">
      <c r="A65" t="s">
        <v>24</v>
      </c>
      <c r="B65" s="18">
        <v>57352.719999999987</v>
      </c>
      <c r="C65" s="18">
        <v>269164.12999999995</v>
      </c>
      <c r="E65" t="s">
        <v>31</v>
      </c>
      <c r="F65" s="18">
        <v>47727.48</v>
      </c>
      <c r="G65" s="18">
        <v>160892.81000000003</v>
      </c>
      <c r="I65" t="s">
        <v>20</v>
      </c>
      <c r="J65" s="18">
        <v>74208.400000000009</v>
      </c>
      <c r="K65" s="18">
        <v>345183.16</v>
      </c>
      <c r="L65" s="18"/>
      <c r="N65" t="s">
        <v>33</v>
      </c>
      <c r="O65" s="18">
        <v>48026.85</v>
      </c>
      <c r="P65" s="18">
        <v>267845.69999999995</v>
      </c>
      <c r="R65" t="s">
        <v>24</v>
      </c>
      <c r="S65" s="18">
        <v>14196</v>
      </c>
      <c r="T65" s="18">
        <v>606</v>
      </c>
      <c r="V65" t="s">
        <v>31</v>
      </c>
      <c r="W65" s="18">
        <v>13941</v>
      </c>
      <c r="X65" s="18">
        <v>388</v>
      </c>
      <c r="Z65" t="s">
        <v>20</v>
      </c>
      <c r="AA65" s="18">
        <v>15084</v>
      </c>
      <c r="AB65" s="18">
        <v>742</v>
      </c>
      <c r="AE65" t="s">
        <v>33</v>
      </c>
      <c r="AF65" s="18">
        <v>12444</v>
      </c>
      <c r="AG65" s="18">
        <v>554</v>
      </c>
    </row>
    <row r="66" spans="1:33" x14ac:dyDescent="0.3">
      <c r="A66" t="s">
        <v>28</v>
      </c>
      <c r="B66" s="18">
        <v>68719.06</v>
      </c>
      <c r="C66" s="18">
        <v>295320.58</v>
      </c>
      <c r="E66" t="s">
        <v>34</v>
      </c>
      <c r="F66" s="18">
        <v>76409.430000000008</v>
      </c>
      <c r="G66" s="18">
        <v>306119.49</v>
      </c>
      <c r="I66" t="s">
        <v>25</v>
      </c>
      <c r="J66" s="18">
        <v>54453.49</v>
      </c>
      <c r="K66" s="18">
        <v>213893.9</v>
      </c>
      <c r="L66" s="18"/>
      <c r="N66" t="s">
        <v>22</v>
      </c>
      <c r="O66" s="18">
        <v>61035.839999999997</v>
      </c>
      <c r="P66" s="18">
        <v>249071.68</v>
      </c>
      <c r="R66" t="s">
        <v>28</v>
      </c>
      <c r="S66" s="18">
        <v>12362</v>
      </c>
      <c r="T66" s="18">
        <v>638</v>
      </c>
      <c r="V66" t="s">
        <v>34</v>
      </c>
      <c r="W66" s="18">
        <v>15533</v>
      </c>
      <c r="X66" s="18">
        <v>733</v>
      </c>
      <c r="Z66" t="s">
        <v>25</v>
      </c>
      <c r="AA66" s="18">
        <v>10984</v>
      </c>
      <c r="AB66" s="18">
        <v>529</v>
      </c>
      <c r="AE66" t="s">
        <v>22</v>
      </c>
      <c r="AF66" s="18">
        <v>13980</v>
      </c>
      <c r="AG66" s="18">
        <v>589</v>
      </c>
    </row>
    <row r="67" spans="1:33" x14ac:dyDescent="0.3">
      <c r="A67" t="s">
        <v>159</v>
      </c>
      <c r="B67" s="18">
        <v>261166.31999999995</v>
      </c>
      <c r="C67" s="18">
        <v>1042479.69</v>
      </c>
      <c r="E67" t="s">
        <v>159</v>
      </c>
      <c r="F67" s="18">
        <v>261166.32000000007</v>
      </c>
      <c r="G67" s="18">
        <v>1042479.69</v>
      </c>
      <c r="I67" t="s">
        <v>159</v>
      </c>
      <c r="J67" s="18">
        <v>261166.31999999995</v>
      </c>
      <c r="K67" s="18">
        <v>1042479.6899999998</v>
      </c>
      <c r="L67" s="18"/>
      <c r="N67" t="s">
        <v>159</v>
      </c>
      <c r="O67" s="18">
        <v>261166.32</v>
      </c>
      <c r="P67" s="18">
        <v>1042479.69</v>
      </c>
      <c r="R67" t="s">
        <v>159</v>
      </c>
      <c r="S67" s="18">
        <v>55973</v>
      </c>
      <c r="T67" s="18">
        <v>2531</v>
      </c>
      <c r="V67" t="s">
        <v>159</v>
      </c>
      <c r="W67" s="18">
        <v>55973</v>
      </c>
      <c r="X67" s="18">
        <v>2531</v>
      </c>
      <c r="Z67" t="s">
        <v>159</v>
      </c>
      <c r="AA67" s="18">
        <v>55973</v>
      </c>
      <c r="AB67" s="18">
        <v>2531</v>
      </c>
      <c r="AE67" t="s">
        <v>159</v>
      </c>
      <c r="AF67" s="18">
        <v>55973</v>
      </c>
      <c r="AG67" s="18">
        <v>2531</v>
      </c>
    </row>
    <row r="69" spans="1:33" x14ac:dyDescent="0.3">
      <c r="A69" s="28" t="e">
        <f>GETPIVOTDATA("Revenue",$A63,"Channel",C63) / GETPIVOTDATA("Spend",$A63,"Channel",B63)</f>
        <v>#REF!</v>
      </c>
      <c r="B69" s="30">
        <f>GETPIVOTDATA("Revenue-",$A$62,"Channel",$A63)</f>
        <v>175503.28000000003</v>
      </c>
      <c r="C69" s="31">
        <f>B69/B70</f>
        <v>3.1383011861662697</v>
      </c>
    </row>
    <row r="70" spans="1:33" x14ac:dyDescent="0.3">
      <c r="B70" s="32">
        <f>GETPIVOTDATA("Spent",$A$62,"Channel",$A63)</f>
        <v>55923.02</v>
      </c>
      <c r="C70" s="33"/>
    </row>
    <row r="71" spans="1:33" ht="15" thickBot="1" x14ac:dyDescent="0.35">
      <c r="A71" s="28" t="e">
        <f>GETPIVOTDATA("Revenue",$A$62,"Channel",$A67) / GETPIVOTDATA("Spend",$A$62,"Channel",$A67)</f>
        <v>#REF!</v>
      </c>
      <c r="F71" s="34" t="s">
        <v>131</v>
      </c>
    </row>
    <row r="72" spans="1:33" ht="15" thickBot="1" x14ac:dyDescent="0.35">
      <c r="C72" s="53" t="s">
        <v>131</v>
      </c>
      <c r="F72" s="35">
        <f>G63/F63</f>
        <v>4.4177610586917506</v>
      </c>
    </row>
    <row r="73" spans="1:33" x14ac:dyDescent="0.3">
      <c r="A73" s="28" t="e">
        <f t="shared" ref="A73:A78" si="11">GETPIVOTDATA("Revenue",$A62) / GETPIVOTDATA("Spend",$A62)</f>
        <v>#REF!</v>
      </c>
      <c r="C73" s="51">
        <f>GETPIVOTDATA("Revenue-",$A$62,"Channel",$A63) / GETPIVOTDATA("Spent",$A$62,"Channel",$A56)</f>
        <v>3.1383011861662697</v>
      </c>
      <c r="F73" s="35">
        <f>G64/F64</f>
        <v>3.9728018832007148</v>
      </c>
    </row>
    <row r="74" spans="1:33" x14ac:dyDescent="0.3">
      <c r="A74" s="28" t="e">
        <f t="shared" si="11"/>
        <v>#REF!</v>
      </c>
      <c r="C74" s="51">
        <f t="shared" ref="C74:C76" si="12">GETPIVOTDATA("Revenue-",$A$62,"Channel",$A64) / GETPIVOTDATA("Spent",$A$62,"Channel",$A57)</f>
        <v>3.8207135596234605</v>
      </c>
      <c r="F74" s="35">
        <f>G65/F65</f>
        <v>3.3710728075314265</v>
      </c>
    </row>
    <row r="75" spans="1:33" ht="15" thickBot="1" x14ac:dyDescent="0.35">
      <c r="A75" s="28" t="e">
        <f t="shared" si="11"/>
        <v>#REF!</v>
      </c>
      <c r="C75" s="51">
        <f t="shared" si="12"/>
        <v>4.6931362627613824</v>
      </c>
      <c r="F75" s="36">
        <f>G66/F66</f>
        <v>4.0063051118166957</v>
      </c>
    </row>
    <row r="76" spans="1:33" x14ac:dyDescent="0.3">
      <c r="A76" s="28" t="e">
        <f t="shared" si="11"/>
        <v>#REF!</v>
      </c>
      <c r="C76" s="51">
        <f t="shared" si="12"/>
        <v>4.2975061067482594</v>
      </c>
    </row>
    <row r="77" spans="1:33" x14ac:dyDescent="0.3">
      <c r="A77" s="28" t="e">
        <f t="shared" si="11"/>
        <v>#REF!</v>
      </c>
      <c r="C77" s="52" t="e">
        <f>GETPIVOTDATA("Revenue",$A$62,"Channel",$A63) / GETPIVOTDATA("Spend",$A$62,"Channel",$A63)</f>
        <v>#REF!</v>
      </c>
    </row>
    <row r="78" spans="1:33" x14ac:dyDescent="0.3">
      <c r="A78" s="28" t="e">
        <f t="shared" si="11"/>
        <v>#REF!</v>
      </c>
    </row>
    <row r="80" spans="1:33" s="38" customFormat="1" x14ac:dyDescent="0.3">
      <c r="A80" s="38" t="s">
        <v>185</v>
      </c>
    </row>
    <row r="81" spans="1:13" x14ac:dyDescent="0.3">
      <c r="B81" s="39" t="s">
        <v>186</v>
      </c>
      <c r="C81" s="39"/>
      <c r="D81" s="39"/>
    </row>
    <row r="82" spans="1:13" x14ac:dyDescent="0.3">
      <c r="B82" s="39" t="s">
        <v>187</v>
      </c>
      <c r="C82" s="39"/>
      <c r="D82" s="39"/>
    </row>
    <row r="83" spans="1:13" x14ac:dyDescent="0.3">
      <c r="B83" s="39" t="s">
        <v>188</v>
      </c>
      <c r="C83" s="39"/>
      <c r="D83" s="39"/>
    </row>
    <row r="84" spans="1:13" x14ac:dyDescent="0.3">
      <c r="B84" s="39" t="s">
        <v>189</v>
      </c>
      <c r="C84" s="39"/>
      <c r="D84" s="39"/>
    </row>
    <row r="85" spans="1:13" x14ac:dyDescent="0.3">
      <c r="B85" s="39" t="s">
        <v>190</v>
      </c>
      <c r="C85" s="39"/>
      <c r="D85" s="39"/>
    </row>
    <row r="86" spans="1:13" x14ac:dyDescent="0.3">
      <c r="B86" s="39" t="s">
        <v>191</v>
      </c>
      <c r="C86" s="39"/>
      <c r="D86" s="39"/>
    </row>
    <row r="87" spans="1:13" x14ac:dyDescent="0.3">
      <c r="B87" s="40" t="s">
        <v>192</v>
      </c>
      <c r="C87" s="39"/>
      <c r="D87" s="39"/>
    </row>
    <row r="88" spans="1:13" x14ac:dyDescent="0.3">
      <c r="B88" s="39" t="s">
        <v>169</v>
      </c>
      <c r="C88" s="39"/>
      <c r="D88" s="39"/>
    </row>
    <row r="89" spans="1:13" x14ac:dyDescent="0.3">
      <c r="B89" s="39" t="s">
        <v>193</v>
      </c>
      <c r="C89" s="39"/>
      <c r="D89" s="39"/>
    </row>
    <row r="91" spans="1:13" ht="15.6" x14ac:dyDescent="0.3">
      <c r="A91" s="43" t="s">
        <v>194</v>
      </c>
      <c r="J91" s="45" t="s">
        <v>195</v>
      </c>
      <c r="K91" s="45"/>
      <c r="L91" s="45"/>
      <c r="M91" s="45"/>
    </row>
    <row r="92" spans="1:13" ht="15.6" x14ac:dyDescent="0.3">
      <c r="A92" s="43" t="s">
        <v>196</v>
      </c>
      <c r="J92" s="45">
        <v>1</v>
      </c>
      <c r="K92" s="46" t="s">
        <v>197</v>
      </c>
      <c r="L92" s="46"/>
      <c r="M92" s="45"/>
    </row>
    <row r="93" spans="1:13" ht="15.6" x14ac:dyDescent="0.3">
      <c r="A93" s="44" t="s">
        <v>198</v>
      </c>
      <c r="J93" s="45"/>
      <c r="K93" s="45" t="s">
        <v>199</v>
      </c>
      <c r="L93" s="45"/>
      <c r="M93" s="45"/>
    </row>
    <row r="94" spans="1:13" ht="15.6" x14ac:dyDescent="0.3">
      <c r="A94" s="44" t="s">
        <v>200</v>
      </c>
      <c r="J94" s="45">
        <v>2</v>
      </c>
      <c r="K94" s="46" t="s">
        <v>201</v>
      </c>
      <c r="L94" s="46"/>
      <c r="M94" s="45"/>
    </row>
    <row r="95" spans="1:13" ht="15.6" x14ac:dyDescent="0.3">
      <c r="A95" s="44" t="s">
        <v>202</v>
      </c>
      <c r="J95" s="45">
        <v>3</v>
      </c>
      <c r="K95" s="46" t="s">
        <v>203</v>
      </c>
      <c r="L95" s="46"/>
      <c r="M95" s="45"/>
    </row>
    <row r="96" spans="1:13" ht="15.6" x14ac:dyDescent="0.3">
      <c r="A96" s="43" t="s">
        <v>204</v>
      </c>
      <c r="J96" s="45"/>
      <c r="K96" s="45"/>
      <c r="L96" s="45"/>
      <c r="M96" s="45" t="s">
        <v>205</v>
      </c>
    </row>
    <row r="97" spans="1:20" ht="15.6" x14ac:dyDescent="0.3">
      <c r="B97" s="44" t="s">
        <v>206</v>
      </c>
      <c r="C97" s="42"/>
      <c r="J97" s="45"/>
      <c r="K97" s="45"/>
      <c r="L97" s="45"/>
      <c r="M97" s="45" t="s">
        <v>207</v>
      </c>
    </row>
    <row r="98" spans="1:20" ht="15.6" x14ac:dyDescent="0.3">
      <c r="B98" s="44" t="s">
        <v>208</v>
      </c>
      <c r="C98" s="42"/>
      <c r="J98" s="45">
        <v>4</v>
      </c>
      <c r="K98" s="46" t="s">
        <v>209</v>
      </c>
      <c r="L98" s="46"/>
      <c r="M98" s="45"/>
    </row>
    <row r="99" spans="1:20" ht="15.6" x14ac:dyDescent="0.3">
      <c r="B99" s="44" t="s">
        <v>210</v>
      </c>
      <c r="C99" s="42"/>
      <c r="J99" s="45"/>
      <c r="K99" s="45"/>
      <c r="L99" s="45"/>
      <c r="M99" s="45" t="s">
        <v>211</v>
      </c>
    </row>
    <row r="100" spans="1:20" ht="15.6" x14ac:dyDescent="0.3">
      <c r="B100" s="44"/>
      <c r="C100" s="42"/>
      <c r="J100" s="45"/>
      <c r="K100" s="45"/>
      <c r="L100" s="45"/>
      <c r="M100" s="45" t="s">
        <v>212</v>
      </c>
    </row>
    <row r="101" spans="1:20" ht="15.6" x14ac:dyDescent="0.3">
      <c r="B101" s="44" t="s">
        <v>213</v>
      </c>
      <c r="C101" s="42"/>
      <c r="J101" s="45" t="s">
        <v>214</v>
      </c>
      <c r="K101" s="45"/>
      <c r="L101" s="45"/>
      <c r="M101" s="45"/>
    </row>
    <row r="102" spans="1:20" ht="15.6" x14ac:dyDescent="0.3">
      <c r="A102" s="43" t="s">
        <v>215</v>
      </c>
      <c r="B102" s="43"/>
    </row>
    <row r="103" spans="1:20" ht="15.6" x14ac:dyDescent="0.3">
      <c r="A103" s="43" t="s">
        <v>216</v>
      </c>
      <c r="B103" s="43"/>
    </row>
    <row r="104" spans="1:20" ht="15.6" x14ac:dyDescent="0.3">
      <c r="A104" s="43" t="s">
        <v>217</v>
      </c>
      <c r="B104" s="43"/>
    </row>
    <row r="105" spans="1:20" ht="15.6" x14ac:dyDescent="0.3">
      <c r="A105" s="43" t="s">
        <v>218</v>
      </c>
      <c r="B105" s="43"/>
    </row>
    <row r="107" spans="1:20" ht="15.6" x14ac:dyDescent="0.3">
      <c r="A107" s="16" t="s">
        <v>219</v>
      </c>
      <c r="R107" s="14" t="s">
        <v>18</v>
      </c>
      <c r="S107" s="14" t="s">
        <v>17</v>
      </c>
      <c r="T107" t="s">
        <v>122</v>
      </c>
    </row>
    <row r="108" spans="1:20" ht="15.6" x14ac:dyDescent="0.3">
      <c r="B108" s="45" t="s">
        <v>220</v>
      </c>
      <c r="R108" t="s">
        <v>133</v>
      </c>
      <c r="S108" t="s">
        <v>134</v>
      </c>
      <c r="T108" s="41">
        <v>5.1169200000000004</v>
      </c>
    </row>
    <row r="109" spans="1:20" ht="15.6" x14ac:dyDescent="0.3">
      <c r="B109" s="45" t="s">
        <v>221</v>
      </c>
      <c r="S109" t="s">
        <v>136</v>
      </c>
      <c r="T109" s="41">
        <v>4.296475</v>
      </c>
    </row>
    <row r="110" spans="1:20" ht="15.6" x14ac:dyDescent="0.3">
      <c r="A110" s="16" t="s">
        <v>222</v>
      </c>
      <c r="S110" t="s">
        <v>138</v>
      </c>
      <c r="T110" s="41">
        <v>7.6205999999999996</v>
      </c>
    </row>
    <row r="111" spans="1:20" ht="15.6" x14ac:dyDescent="0.3">
      <c r="B111" s="45" t="s">
        <v>223</v>
      </c>
      <c r="S111" t="s">
        <v>140</v>
      </c>
      <c r="T111" s="41">
        <v>4.2862799999999996</v>
      </c>
    </row>
    <row r="112" spans="1:20" ht="15.6" x14ac:dyDescent="0.3">
      <c r="B112" s="45" t="s">
        <v>224</v>
      </c>
      <c r="S112" t="s">
        <v>146</v>
      </c>
      <c r="T112" s="41">
        <v>6.0614250000000007</v>
      </c>
    </row>
    <row r="113" spans="1:21" x14ac:dyDescent="0.3">
      <c r="S113" t="s">
        <v>148</v>
      </c>
      <c r="T113" s="41">
        <v>3.30165</v>
      </c>
    </row>
    <row r="114" spans="1:21" x14ac:dyDescent="0.3">
      <c r="S114" t="s">
        <v>150</v>
      </c>
      <c r="T114" s="41">
        <v>8.2101799999999994</v>
      </c>
    </row>
    <row r="115" spans="1:21" x14ac:dyDescent="0.3">
      <c r="S115" t="s">
        <v>154</v>
      </c>
      <c r="T115" s="41">
        <v>8.9288000000000007</v>
      </c>
    </row>
    <row r="116" spans="1:21" x14ac:dyDescent="0.3">
      <c r="A116" s="14" t="s">
        <v>3</v>
      </c>
      <c r="B116" t="s">
        <v>142</v>
      </c>
      <c r="C116" t="s">
        <v>225</v>
      </c>
      <c r="D116" t="s">
        <v>143</v>
      </c>
      <c r="F116" s="14" t="s">
        <v>3</v>
      </c>
      <c r="G116" t="s">
        <v>152</v>
      </c>
      <c r="H116" t="s">
        <v>153</v>
      </c>
      <c r="I116" t="s">
        <v>226</v>
      </c>
      <c r="K116" s="14" t="s">
        <v>4</v>
      </c>
      <c r="L116" t="s">
        <v>142</v>
      </c>
      <c r="M116" t="s">
        <v>143</v>
      </c>
      <c r="N116" t="s">
        <v>227</v>
      </c>
      <c r="O116" t="s">
        <v>226</v>
      </c>
      <c r="S116" t="s">
        <v>157</v>
      </c>
      <c r="T116" s="41">
        <v>1.7304999999999999</v>
      </c>
    </row>
    <row r="117" spans="1:21" x14ac:dyDescent="0.3">
      <c r="A117" t="s">
        <v>30</v>
      </c>
      <c r="B117" s="18">
        <v>55923.02</v>
      </c>
      <c r="C117" s="18">
        <v>594</v>
      </c>
      <c r="D117" s="18">
        <v>175503.28000000003</v>
      </c>
      <c r="F117" t="s">
        <v>30</v>
      </c>
      <c r="G117" s="41">
        <v>0.132525</v>
      </c>
      <c r="H117" s="18">
        <v>8.3925000000000018</v>
      </c>
      <c r="I117" s="41">
        <v>3.1983649999999995</v>
      </c>
      <c r="K117" t="s">
        <v>29</v>
      </c>
      <c r="L117" s="18">
        <v>81917.239999999991</v>
      </c>
      <c r="M117" s="18">
        <v>301440.9499999999</v>
      </c>
      <c r="N117" s="41">
        <v>7.1126531859713071E-2</v>
      </c>
      <c r="O117" s="41">
        <v>4.5046718750000005</v>
      </c>
      <c r="S117" t="s">
        <v>160</v>
      </c>
      <c r="T117" s="41">
        <v>3.3937199999999996</v>
      </c>
    </row>
    <row r="118" spans="1:21" x14ac:dyDescent="0.3">
      <c r="A118" t="s">
        <v>21</v>
      </c>
      <c r="B118" s="18">
        <v>79171.51999999999</v>
      </c>
      <c r="C118" s="18">
        <v>693</v>
      </c>
      <c r="D118" s="18">
        <v>302491.69999999995</v>
      </c>
      <c r="F118" t="s">
        <v>21</v>
      </c>
      <c r="G118" s="41">
        <v>0.14615666666666668</v>
      </c>
      <c r="H118" s="18">
        <v>5.625</v>
      </c>
      <c r="I118" s="41">
        <v>4.5236666666666681</v>
      </c>
      <c r="K118" t="s">
        <v>26</v>
      </c>
      <c r="L118" s="18">
        <v>70186.39</v>
      </c>
      <c r="M118" s="18">
        <v>224121.36000000002</v>
      </c>
      <c r="N118" s="41">
        <v>6.4157374838393288E-2</v>
      </c>
      <c r="O118" s="41">
        <v>2.7790090909090912</v>
      </c>
      <c r="S118" t="s">
        <v>161</v>
      </c>
      <c r="T118" s="41">
        <v>6.7892000000000001</v>
      </c>
    </row>
    <row r="119" spans="1:21" x14ac:dyDescent="0.3">
      <c r="A119" t="s">
        <v>24</v>
      </c>
      <c r="B119" s="18">
        <v>57352.719999999987</v>
      </c>
      <c r="C119" s="18">
        <v>606</v>
      </c>
      <c r="D119" s="18">
        <v>269164.12999999995</v>
      </c>
      <c r="F119" t="s">
        <v>24</v>
      </c>
      <c r="G119" s="41">
        <v>0.16439999999999999</v>
      </c>
      <c r="H119" s="18">
        <v>5.4536000000000016</v>
      </c>
      <c r="I119" s="41">
        <v>4.9899599999999991</v>
      </c>
      <c r="K119" t="s">
        <v>33</v>
      </c>
      <c r="L119" s="18">
        <v>48026.85</v>
      </c>
      <c r="M119" s="18">
        <v>267845.69999999995</v>
      </c>
      <c r="N119" s="41">
        <v>6.4325128108211879E-2</v>
      </c>
      <c r="O119" s="41">
        <v>6.9939318181818182</v>
      </c>
      <c r="S119" t="s">
        <v>163</v>
      </c>
      <c r="T119" s="41">
        <v>1.13368</v>
      </c>
    </row>
    <row r="120" spans="1:21" x14ac:dyDescent="0.3">
      <c r="A120" t="s">
        <v>28</v>
      </c>
      <c r="B120" s="18">
        <v>68719.06</v>
      </c>
      <c r="C120" s="18">
        <v>638</v>
      </c>
      <c r="D120" s="18">
        <v>295320.58</v>
      </c>
      <c r="F120" t="s">
        <v>28</v>
      </c>
      <c r="G120" s="41">
        <v>0.10874400000000001</v>
      </c>
      <c r="H120" s="18">
        <v>7.3651999999999989</v>
      </c>
      <c r="I120" s="41">
        <v>4.9274759999999995</v>
      </c>
      <c r="K120" t="s">
        <v>22</v>
      </c>
      <c r="L120" s="18">
        <v>61035.839999999997</v>
      </c>
      <c r="M120" s="18">
        <v>249071.68</v>
      </c>
      <c r="N120" s="41">
        <v>5.9504843693569738E-2</v>
      </c>
      <c r="O120" s="41">
        <v>3.6857916666666668</v>
      </c>
      <c r="R120" t="s">
        <v>165</v>
      </c>
      <c r="T120" s="41">
        <v>5.0116698113207558</v>
      </c>
    </row>
    <row r="121" spans="1:21" x14ac:dyDescent="0.3">
      <c r="A121" t="s">
        <v>159</v>
      </c>
      <c r="B121" s="18">
        <v>261166.31999999995</v>
      </c>
      <c r="C121" s="18">
        <v>2531</v>
      </c>
      <c r="D121" s="18">
        <v>1042479.69</v>
      </c>
      <c r="F121" t="s">
        <v>159</v>
      </c>
      <c r="G121" s="41">
        <v>0.13863799999999993</v>
      </c>
      <c r="H121" s="18">
        <v>6.5706999999999969</v>
      </c>
      <c r="I121" s="41">
        <v>4.4761319999999998</v>
      </c>
      <c r="K121" t="s">
        <v>159</v>
      </c>
      <c r="L121" s="18">
        <v>261166.32000000004</v>
      </c>
      <c r="M121" s="18">
        <v>1042479.6899999996</v>
      </c>
      <c r="N121" s="41">
        <v>6.5307803329818059E-2</v>
      </c>
      <c r="O121" s="41">
        <v>4.4761320000000007</v>
      </c>
      <c r="R121" t="s">
        <v>156</v>
      </c>
      <c r="S121" t="s">
        <v>134</v>
      </c>
      <c r="T121" s="41">
        <v>4.3219249999999994</v>
      </c>
    </row>
    <row r="122" spans="1:21" x14ac:dyDescent="0.3">
      <c r="S122" t="s">
        <v>136</v>
      </c>
      <c r="T122" s="41">
        <v>4.3588999999999993</v>
      </c>
      <c r="U122" s="61">
        <f>(T131/T130)-1</f>
        <v>1.1462363085527851</v>
      </c>
    </row>
    <row r="123" spans="1:21" x14ac:dyDescent="0.3">
      <c r="S123" t="s">
        <v>138</v>
      </c>
      <c r="T123" s="41">
        <v>7.3754400000000002</v>
      </c>
    </row>
    <row r="124" spans="1:21" x14ac:dyDescent="0.3">
      <c r="S124" t="s">
        <v>140</v>
      </c>
      <c r="T124" s="41">
        <v>1.8595000000000002</v>
      </c>
    </row>
    <row r="125" spans="1:21" x14ac:dyDescent="0.3">
      <c r="S125" t="s">
        <v>146</v>
      </c>
      <c r="T125" s="41">
        <v>1.510275</v>
      </c>
    </row>
    <row r="126" spans="1:21" x14ac:dyDescent="0.3">
      <c r="S126" t="s">
        <v>148</v>
      </c>
      <c r="T126" s="41">
        <v>1.7784999999999997</v>
      </c>
    </row>
    <row r="127" spans="1:21" x14ac:dyDescent="0.3">
      <c r="S127" t="s">
        <v>150</v>
      </c>
      <c r="T127" s="41">
        <v>3.10345</v>
      </c>
    </row>
    <row r="128" spans="1:21" x14ac:dyDescent="0.3">
      <c r="S128" t="s">
        <v>154</v>
      </c>
      <c r="T128" s="41">
        <v>4.3729750000000003</v>
      </c>
    </row>
    <row r="129" spans="18:20" x14ac:dyDescent="0.3">
      <c r="S129" t="s">
        <v>157</v>
      </c>
      <c r="T129" s="41">
        <v>4.0631000000000004</v>
      </c>
    </row>
    <row r="130" spans="18:20" x14ac:dyDescent="0.3">
      <c r="S130" t="s">
        <v>160</v>
      </c>
      <c r="T130" s="41">
        <v>3.0036999999999998</v>
      </c>
    </row>
    <row r="131" spans="18:20" x14ac:dyDescent="0.3">
      <c r="S131" t="s">
        <v>161</v>
      </c>
      <c r="T131" s="41">
        <v>6.44665</v>
      </c>
    </row>
    <row r="132" spans="18:20" x14ac:dyDescent="0.3">
      <c r="R132" t="s">
        <v>180</v>
      </c>
      <c r="T132" s="41">
        <v>3.8722276595744685</v>
      </c>
    </row>
    <row r="133" spans="18:20" x14ac:dyDescent="0.3">
      <c r="R133" t="s">
        <v>159</v>
      </c>
      <c r="T133" s="41">
        <v>4.4761319999999998</v>
      </c>
    </row>
  </sheetData>
  <pageMargins left="0.7" right="0.7" top="0.75" bottom="0.75" header="0.3" footer="0.3"/>
  <drawing r:id="rId47"/>
  <extLst>
    <ext xmlns:x14="http://schemas.microsoft.com/office/spreadsheetml/2009/9/main" uri="{A8765BA9-456A-4dab-B4F3-ACF838C121DE}">
      <x14:slicerList>
        <x14:slicer r:id="rId48"/>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91734-F803-47F9-852E-828B305EAD91}">
  <dimension ref="A2:A6"/>
  <sheetViews>
    <sheetView workbookViewId="0">
      <selection activeCell="L24" sqref="L24"/>
    </sheetView>
  </sheetViews>
  <sheetFormatPr defaultRowHeight="14.4" x14ac:dyDescent="0.3"/>
  <cols>
    <col min="1" max="1" width="24.6640625" customWidth="1"/>
    <col min="2" max="2" width="36.5546875" bestFit="1" customWidth="1"/>
  </cols>
  <sheetData>
    <row r="2" spans="1:1" ht="21" x14ac:dyDescent="0.4">
      <c r="A2" s="89" t="s">
        <v>228</v>
      </c>
    </row>
    <row r="3" spans="1:1" ht="18" x14ac:dyDescent="0.35">
      <c r="A3" s="90" t="s">
        <v>229</v>
      </c>
    </row>
    <row r="6" spans="1:1" ht="18" x14ac:dyDescent="0.35">
      <c r="A6" s="76" t="s">
        <v>315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70EF8-F9E1-4903-86F2-8CC9412C1470}">
  <sheetPr>
    <tabColor theme="9"/>
  </sheetPr>
  <dimension ref="A29:M50"/>
  <sheetViews>
    <sheetView showGridLines="0" tabSelected="1" workbookViewId="0">
      <selection activeCell="O33" sqref="O33"/>
    </sheetView>
  </sheetViews>
  <sheetFormatPr defaultRowHeight="14.4" x14ac:dyDescent="0.3"/>
  <cols>
    <col min="1" max="2" width="9.109375" bestFit="1" customWidth="1"/>
    <col min="6" max="6" width="8.88671875" customWidth="1"/>
  </cols>
  <sheetData>
    <row r="29" spans="3:13" ht="15.6" x14ac:dyDescent="0.3">
      <c r="C29" s="70" t="s">
        <v>230</v>
      </c>
      <c r="D29" s="70"/>
      <c r="E29" s="70"/>
      <c r="F29" s="74"/>
      <c r="J29" s="70" t="s">
        <v>231</v>
      </c>
      <c r="K29" s="70"/>
      <c r="L29" s="70"/>
      <c r="M29" s="70"/>
    </row>
    <row r="35" spans="1:10" ht="15.6" x14ac:dyDescent="0.3">
      <c r="A35" s="88" t="s">
        <v>316</v>
      </c>
      <c r="B35" s="45"/>
      <c r="C35" s="45"/>
      <c r="D35" s="45"/>
      <c r="E35" s="45"/>
      <c r="F35" s="45"/>
      <c r="G35" s="45"/>
      <c r="H35" s="45"/>
      <c r="I35" s="45"/>
      <c r="J35" s="45"/>
    </row>
    <row r="36" spans="1:10" ht="15.6" x14ac:dyDescent="0.3">
      <c r="A36" s="45"/>
      <c r="B36" s="45"/>
      <c r="C36" s="45"/>
      <c r="D36" s="45"/>
      <c r="E36" s="45"/>
      <c r="F36" s="45"/>
      <c r="G36" s="45"/>
      <c r="H36" s="45"/>
      <c r="I36" s="45"/>
      <c r="J36" s="45"/>
    </row>
    <row r="37" spans="1:10" ht="15.6" x14ac:dyDescent="0.3">
      <c r="A37" s="45" t="s">
        <v>232</v>
      </c>
      <c r="B37" s="45"/>
      <c r="C37" s="45"/>
      <c r="D37" s="45"/>
      <c r="E37" s="45"/>
      <c r="F37" s="45"/>
      <c r="G37" s="45"/>
      <c r="H37" s="45"/>
      <c r="I37" s="45"/>
      <c r="J37" s="45"/>
    </row>
    <row r="38" spans="1:10" ht="15.6" x14ac:dyDescent="0.3">
      <c r="A38" s="68"/>
      <c r="B38" s="45"/>
      <c r="C38" s="45"/>
      <c r="D38" s="45"/>
      <c r="E38" s="45"/>
      <c r="F38" s="45"/>
      <c r="G38" s="45"/>
      <c r="H38" s="45"/>
      <c r="I38" s="45"/>
      <c r="J38" s="45"/>
    </row>
    <row r="39" spans="1:10" ht="15.6" x14ac:dyDescent="0.3">
      <c r="A39" s="69" t="s">
        <v>233</v>
      </c>
      <c r="B39" s="45"/>
      <c r="C39" s="45"/>
      <c r="D39" s="45"/>
      <c r="E39" s="45"/>
      <c r="F39" s="45"/>
      <c r="G39" s="45"/>
      <c r="H39" s="45"/>
      <c r="I39" s="45"/>
      <c r="J39" s="45"/>
    </row>
    <row r="40" spans="1:10" ht="15.6" x14ac:dyDescent="0.3">
      <c r="A40" s="69" t="s">
        <v>234</v>
      </c>
      <c r="B40" s="45"/>
      <c r="C40" s="45"/>
      <c r="D40" s="45"/>
      <c r="E40" s="45"/>
      <c r="F40" s="45"/>
      <c r="G40" s="45"/>
      <c r="H40" s="45"/>
      <c r="I40" s="45"/>
      <c r="J40" s="45"/>
    </row>
    <row r="41" spans="1:10" ht="15.6" x14ac:dyDescent="0.3">
      <c r="A41" s="69" t="s">
        <v>235</v>
      </c>
      <c r="B41" s="45"/>
      <c r="C41" s="45"/>
      <c r="D41" s="45"/>
      <c r="E41" s="45"/>
      <c r="F41" s="45"/>
      <c r="G41" s="45"/>
      <c r="H41" s="45"/>
      <c r="I41" s="45"/>
      <c r="J41" s="45"/>
    </row>
    <row r="42" spans="1:10" ht="15.6" x14ac:dyDescent="0.3">
      <c r="A42" s="69" t="s">
        <v>236</v>
      </c>
      <c r="B42" s="45"/>
      <c r="C42" s="45"/>
      <c r="D42" s="45"/>
      <c r="E42" s="45"/>
      <c r="F42" s="45"/>
      <c r="G42" s="45"/>
      <c r="H42" s="45"/>
      <c r="I42" s="45"/>
      <c r="J42" s="45"/>
    </row>
    <row r="43" spans="1:10" ht="15.6" x14ac:dyDescent="0.3">
      <c r="A43" s="69" t="s">
        <v>237</v>
      </c>
      <c r="B43" s="45"/>
      <c r="C43" s="45"/>
      <c r="D43" s="45"/>
      <c r="E43" s="45"/>
      <c r="F43" s="45"/>
      <c r="G43" s="45"/>
      <c r="H43" s="45"/>
      <c r="I43" s="45"/>
      <c r="J43" s="45"/>
    </row>
    <row r="44" spans="1:10" ht="15.6" x14ac:dyDescent="0.3">
      <c r="A44" s="69" t="s">
        <v>238</v>
      </c>
      <c r="B44" s="45"/>
      <c r="C44" s="45"/>
      <c r="D44" s="45"/>
      <c r="E44" s="45"/>
      <c r="F44" s="45"/>
      <c r="G44" s="45"/>
      <c r="H44" s="45"/>
      <c r="I44" s="45"/>
      <c r="J44" s="45"/>
    </row>
    <row r="45" spans="1:10" ht="15.6" x14ac:dyDescent="0.3">
      <c r="A45" s="69" t="s">
        <v>239</v>
      </c>
      <c r="B45" s="45"/>
      <c r="C45" s="45"/>
      <c r="D45" s="45"/>
      <c r="E45" s="45"/>
      <c r="F45" s="45"/>
      <c r="G45" s="45"/>
      <c r="H45" s="45"/>
      <c r="I45" s="45"/>
      <c r="J45" s="45"/>
    </row>
    <row r="46" spans="1:10" ht="15.6" x14ac:dyDescent="0.3">
      <c r="A46" s="45"/>
      <c r="B46" s="45"/>
      <c r="C46" s="45"/>
      <c r="D46" s="45"/>
      <c r="E46" s="45"/>
      <c r="F46" s="45"/>
      <c r="G46" s="45"/>
      <c r="H46" s="45"/>
      <c r="I46" s="45"/>
      <c r="J46" s="45"/>
    </row>
    <row r="47" spans="1:10" ht="15.6" x14ac:dyDescent="0.3">
      <c r="A47" s="45" t="s">
        <v>240</v>
      </c>
      <c r="B47" s="45"/>
      <c r="C47" s="45"/>
      <c r="D47" s="45"/>
      <c r="E47" s="45"/>
      <c r="F47" s="45"/>
      <c r="G47" s="45"/>
      <c r="H47" s="45"/>
      <c r="I47" s="45"/>
      <c r="J47" s="45"/>
    </row>
    <row r="48" spans="1:10" ht="15.6" x14ac:dyDescent="0.3">
      <c r="A48" s="45"/>
      <c r="B48" s="45"/>
      <c r="C48" s="45"/>
      <c r="D48" s="45"/>
      <c r="E48" s="45"/>
      <c r="F48" s="45"/>
      <c r="G48" s="45"/>
      <c r="H48" s="45"/>
      <c r="I48" s="45"/>
      <c r="J48" s="45"/>
    </row>
    <row r="49" spans="1:10" ht="15.6" x14ac:dyDescent="0.3">
      <c r="A49" s="45" t="s">
        <v>241</v>
      </c>
      <c r="B49" s="45"/>
      <c r="C49" s="45"/>
      <c r="D49" s="45"/>
      <c r="E49" s="45"/>
      <c r="F49" s="45"/>
      <c r="G49" s="45"/>
      <c r="H49" s="45"/>
      <c r="I49" s="45"/>
      <c r="J49" s="45"/>
    </row>
    <row r="50" spans="1:10" ht="15.6" x14ac:dyDescent="0.3">
      <c r="A50" s="45"/>
      <c r="B50" s="45"/>
      <c r="C50" s="45"/>
      <c r="D50" s="45"/>
      <c r="E50" s="45"/>
      <c r="F50" s="45"/>
      <c r="G50" s="45"/>
      <c r="H50" s="45"/>
      <c r="I50" s="45"/>
      <c r="J50" s="4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E3D47-71AE-4FAA-B535-0A2F142898D2}">
  <sheetPr>
    <tabColor rgb="FF469C99"/>
  </sheetPr>
  <dimension ref="J11:M33"/>
  <sheetViews>
    <sheetView showGridLines="0" workbookViewId="0">
      <selection activeCell="U1" sqref="U1"/>
    </sheetView>
  </sheetViews>
  <sheetFormatPr defaultRowHeight="14.4" x14ac:dyDescent="0.3"/>
  <cols>
    <col min="13" max="13" width="9.6640625" customWidth="1"/>
    <col min="16" max="16" width="32.33203125" bestFit="1" customWidth="1"/>
  </cols>
  <sheetData>
    <row r="11" spans="10:10" x14ac:dyDescent="0.3">
      <c r="J11" s="75"/>
    </row>
    <row r="33" spans="13:13" ht="18" x14ac:dyDescent="0.35">
      <c r="M33" s="8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B58C3-58A6-4769-B74D-A3DCDEE2EA0C}">
  <sheetPr>
    <tabColor rgb="FF38C2AD"/>
  </sheetPr>
  <dimension ref="A1"/>
  <sheetViews>
    <sheetView showGridLines="0" workbookViewId="0">
      <selection activeCell="R40" sqref="R4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9FDCB-3956-4A1C-983C-D4CEC34DDC8E}">
  <sheetPr>
    <tabColor theme="5" tint="0.59999389629810485"/>
  </sheetPr>
  <dimension ref="H15"/>
  <sheetViews>
    <sheetView showGridLines="0" workbookViewId="0">
      <selection activeCell="O36" sqref="O36"/>
    </sheetView>
  </sheetViews>
  <sheetFormatPr defaultRowHeight="14.4" x14ac:dyDescent="0.3"/>
  <sheetData>
    <row r="15" spans="8:8" x14ac:dyDescent="0.3">
      <c r="H15" s="7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51A8D-6DC5-42AA-9134-71763AE4299B}">
  <sheetPr>
    <tabColor rgb="FF22C2D4"/>
  </sheetPr>
  <dimension ref="A2:O97"/>
  <sheetViews>
    <sheetView topLeftCell="B1" workbookViewId="0">
      <selection activeCell="P19" sqref="P19"/>
    </sheetView>
  </sheetViews>
  <sheetFormatPr defaultRowHeight="14.4" x14ac:dyDescent="0.3"/>
  <cols>
    <col min="2" max="3" width="17.6640625" customWidth="1"/>
  </cols>
  <sheetData>
    <row r="2" spans="1:15" ht="18" x14ac:dyDescent="0.35">
      <c r="C2" s="86" t="s">
        <v>242</v>
      </c>
      <c r="I2" s="81" t="s">
        <v>243</v>
      </c>
      <c r="J2" s="43"/>
      <c r="K2" s="43"/>
      <c r="L2" s="43"/>
      <c r="M2" s="43"/>
      <c r="N2" s="43"/>
      <c r="O2" s="43"/>
    </row>
    <row r="3" spans="1:15" ht="18" x14ac:dyDescent="0.3">
      <c r="D3" s="72" t="s">
        <v>244</v>
      </c>
      <c r="H3" s="44" t="s">
        <v>245</v>
      </c>
      <c r="I3" s="43"/>
      <c r="J3" s="43"/>
      <c r="K3" s="43"/>
      <c r="L3" s="43"/>
      <c r="M3" s="43"/>
      <c r="N3" s="43"/>
      <c r="O3" s="43"/>
    </row>
    <row r="4" spans="1:15" ht="18" x14ac:dyDescent="0.35">
      <c r="A4" s="73" t="s">
        <v>246</v>
      </c>
      <c r="H4" s="44" t="s">
        <v>247</v>
      </c>
      <c r="I4" s="43"/>
      <c r="J4" s="43"/>
      <c r="K4" s="43"/>
      <c r="L4" s="43"/>
      <c r="M4" s="43"/>
      <c r="N4" s="43"/>
      <c r="O4" s="43"/>
    </row>
    <row r="5" spans="1:15" ht="18" x14ac:dyDescent="0.35">
      <c r="B5" s="73" t="s">
        <v>248</v>
      </c>
      <c r="H5" s="44" t="s">
        <v>249</v>
      </c>
      <c r="I5" s="43"/>
      <c r="J5" s="43"/>
      <c r="K5" s="43"/>
      <c r="L5" s="43"/>
      <c r="M5" s="43"/>
      <c r="N5" s="43"/>
      <c r="O5" s="43"/>
    </row>
    <row r="6" spans="1:15" ht="15.6" x14ac:dyDescent="0.3">
      <c r="I6" s="43"/>
      <c r="J6" s="43"/>
      <c r="K6" s="43"/>
      <c r="L6" s="43"/>
      <c r="M6" s="43"/>
      <c r="N6" s="43"/>
      <c r="O6" s="43"/>
    </row>
    <row r="7" spans="1:15" ht="18" x14ac:dyDescent="0.3">
      <c r="D7" s="72" t="s">
        <v>250</v>
      </c>
    </row>
    <row r="9" spans="1:15" ht="18" x14ac:dyDescent="0.35">
      <c r="B9" s="73" t="s">
        <v>251</v>
      </c>
    </row>
    <row r="10" spans="1:15" ht="18" x14ac:dyDescent="0.3">
      <c r="D10" s="72" t="s">
        <v>252</v>
      </c>
    </row>
    <row r="11" spans="1:15" ht="18" x14ac:dyDescent="0.3">
      <c r="D11" s="72" t="s">
        <v>253</v>
      </c>
    </row>
    <row r="17" spans="2:15" ht="18" x14ac:dyDescent="0.35">
      <c r="B17" s="78" t="s">
        <v>254</v>
      </c>
      <c r="G17" s="79" t="s">
        <v>255</v>
      </c>
      <c r="I17" s="73" t="s">
        <v>256</v>
      </c>
      <c r="N17" s="80" t="s">
        <v>257</v>
      </c>
    </row>
    <row r="18" spans="2:15" ht="18" x14ac:dyDescent="0.35">
      <c r="B18" s="76" t="s">
        <v>258</v>
      </c>
    </row>
    <row r="19" spans="2:15" ht="18" x14ac:dyDescent="0.35">
      <c r="B19" s="76" t="s">
        <v>259</v>
      </c>
    </row>
    <row r="20" spans="2:15" ht="18" x14ac:dyDescent="0.35">
      <c r="B20" s="76" t="s">
        <v>260</v>
      </c>
    </row>
    <row r="22" spans="2:15" ht="18" x14ac:dyDescent="0.35">
      <c r="B22" s="76" t="s">
        <v>261</v>
      </c>
    </row>
    <row r="23" spans="2:15" ht="18" x14ac:dyDescent="0.35">
      <c r="B23" s="76" t="s">
        <v>262</v>
      </c>
    </row>
    <row r="24" spans="2:15" ht="18" x14ac:dyDescent="0.35">
      <c r="B24" s="76" t="s">
        <v>263</v>
      </c>
      <c r="F24" s="84" t="s">
        <v>264</v>
      </c>
      <c r="G24" s="85"/>
      <c r="H24" s="85"/>
      <c r="I24" s="85"/>
    </row>
    <row r="25" spans="2:15" ht="18" x14ac:dyDescent="0.35">
      <c r="B25" s="76"/>
      <c r="I25" s="73"/>
    </row>
    <row r="26" spans="2:15" ht="18" x14ac:dyDescent="0.35">
      <c r="B26" s="76"/>
      <c r="I26" s="73"/>
    </row>
    <row r="27" spans="2:15" ht="18" x14ac:dyDescent="0.35">
      <c r="B27" s="76"/>
      <c r="I27" s="73"/>
    </row>
    <row r="28" spans="2:15" ht="18" x14ac:dyDescent="0.35">
      <c r="B28" s="78" t="s">
        <v>265</v>
      </c>
      <c r="H28" s="79" t="s">
        <v>255</v>
      </c>
      <c r="I28" s="73" t="s">
        <v>266</v>
      </c>
      <c r="O28" s="80" t="s">
        <v>257</v>
      </c>
    </row>
    <row r="29" spans="2:15" ht="21" x14ac:dyDescent="0.4">
      <c r="B29" s="15" t="s">
        <v>267</v>
      </c>
    </row>
    <row r="30" spans="2:15" ht="18" x14ac:dyDescent="0.35">
      <c r="B30" s="76" t="s">
        <v>268</v>
      </c>
    </row>
    <row r="31" spans="2:15" ht="18" x14ac:dyDescent="0.35">
      <c r="B31" s="76" t="s">
        <v>269</v>
      </c>
    </row>
    <row r="32" spans="2:15" ht="15.6" x14ac:dyDescent="0.3">
      <c r="B32" s="44" t="s">
        <v>270</v>
      </c>
      <c r="C32" s="43"/>
      <c r="D32" s="43"/>
      <c r="E32" s="43"/>
      <c r="F32" s="43"/>
      <c r="I32" s="80" t="s">
        <v>257</v>
      </c>
    </row>
    <row r="33" spans="2:12" ht="15.6" x14ac:dyDescent="0.3">
      <c r="B33" s="44" t="s">
        <v>271</v>
      </c>
      <c r="C33" s="43"/>
      <c r="D33" s="43"/>
      <c r="E33" s="43"/>
      <c r="F33" s="43"/>
      <c r="I33" s="80" t="s">
        <v>257</v>
      </c>
    </row>
    <row r="35" spans="2:12" ht="18" x14ac:dyDescent="0.35">
      <c r="B35" s="76" t="s">
        <v>272</v>
      </c>
    </row>
    <row r="36" spans="2:12" ht="18" x14ac:dyDescent="0.35">
      <c r="B36" s="76"/>
    </row>
    <row r="37" spans="2:12" ht="18" x14ac:dyDescent="0.35">
      <c r="B37" s="76" t="s">
        <v>273</v>
      </c>
    </row>
    <row r="38" spans="2:12" ht="18" x14ac:dyDescent="0.35">
      <c r="B38" s="76"/>
    </row>
    <row r="39" spans="2:12" ht="18" x14ac:dyDescent="0.35">
      <c r="B39" s="76"/>
    </row>
    <row r="41" spans="2:12" ht="18" x14ac:dyDescent="0.35">
      <c r="B41" s="78" t="s">
        <v>274</v>
      </c>
      <c r="F41" s="79" t="s">
        <v>255</v>
      </c>
      <c r="G41" s="73" t="s">
        <v>275</v>
      </c>
      <c r="L41" s="80" t="s">
        <v>257</v>
      </c>
    </row>
    <row r="42" spans="2:12" ht="18" x14ac:dyDescent="0.35">
      <c r="B42" s="76" t="s">
        <v>276</v>
      </c>
    </row>
    <row r="43" spans="2:12" ht="18" x14ac:dyDescent="0.35">
      <c r="B43" s="76" t="s">
        <v>277</v>
      </c>
    </row>
    <row r="44" spans="2:12" ht="18" x14ac:dyDescent="0.35">
      <c r="B44" s="76" t="s">
        <v>278</v>
      </c>
    </row>
    <row r="46" spans="2:12" ht="18" x14ac:dyDescent="0.35">
      <c r="B46" s="76" t="s">
        <v>279</v>
      </c>
    </row>
    <row r="47" spans="2:12" ht="18" x14ac:dyDescent="0.35">
      <c r="B47" s="76" t="s">
        <v>280</v>
      </c>
    </row>
    <row r="48" spans="2:12" ht="18" x14ac:dyDescent="0.35">
      <c r="B48" s="76" t="s">
        <v>281</v>
      </c>
    </row>
    <row r="49" spans="2:7" ht="18" x14ac:dyDescent="0.35">
      <c r="B49" s="76" t="s">
        <v>282</v>
      </c>
    </row>
    <row r="50" spans="2:7" ht="18" x14ac:dyDescent="0.35">
      <c r="B50" s="76" t="s">
        <v>283</v>
      </c>
      <c r="G50" s="76" t="s">
        <v>284</v>
      </c>
    </row>
    <row r="51" spans="2:7" ht="18" x14ac:dyDescent="0.35">
      <c r="B51" s="76" t="s">
        <v>285</v>
      </c>
    </row>
    <row r="52" spans="2:7" x14ac:dyDescent="0.3">
      <c r="B52" s="42" t="s">
        <v>286</v>
      </c>
      <c r="E52" s="80" t="s">
        <v>257</v>
      </c>
    </row>
    <row r="53" spans="2:7" x14ac:dyDescent="0.3">
      <c r="B53" s="42" t="s">
        <v>287</v>
      </c>
      <c r="E53" s="80" t="s">
        <v>257</v>
      </c>
    </row>
    <row r="54" spans="2:7" x14ac:dyDescent="0.3">
      <c r="B54" s="42" t="s">
        <v>288</v>
      </c>
      <c r="E54" s="80" t="s">
        <v>257</v>
      </c>
    </row>
    <row r="57" spans="2:7" ht="18" x14ac:dyDescent="0.35">
      <c r="B57" s="81" t="s">
        <v>289</v>
      </c>
    </row>
    <row r="58" spans="2:7" ht="18" x14ac:dyDescent="0.35">
      <c r="B58" s="81" t="s">
        <v>290</v>
      </c>
    </row>
    <row r="59" spans="2:7" ht="18" x14ac:dyDescent="0.35">
      <c r="B59" s="81" t="s">
        <v>291</v>
      </c>
    </row>
    <row r="61" spans="2:7" ht="15.6" x14ac:dyDescent="0.3">
      <c r="B61" s="43" t="s">
        <v>292</v>
      </c>
    </row>
    <row r="62" spans="2:7" ht="15.6" x14ac:dyDescent="0.3">
      <c r="B62" s="82"/>
    </row>
    <row r="63" spans="2:7" ht="15.6" x14ac:dyDescent="0.3">
      <c r="B63" s="83" t="s">
        <v>293</v>
      </c>
    </row>
    <row r="64" spans="2:7" ht="15.6" x14ac:dyDescent="0.3">
      <c r="B64" s="43" t="s">
        <v>294</v>
      </c>
      <c r="C64" s="43"/>
    </row>
    <row r="65" spans="2:12" ht="15.6" x14ac:dyDescent="0.3">
      <c r="B65" s="43" t="s">
        <v>295</v>
      </c>
      <c r="C65" s="43"/>
    </row>
    <row r="67" spans="2:12" ht="15.6" x14ac:dyDescent="0.3">
      <c r="B67" s="83" t="s">
        <v>296</v>
      </c>
    </row>
    <row r="68" spans="2:12" ht="15.6" x14ac:dyDescent="0.3">
      <c r="B68" s="83" t="s">
        <v>297</v>
      </c>
    </row>
    <row r="69" spans="2:12" ht="15.6" x14ac:dyDescent="0.3">
      <c r="B69" s="43"/>
    </row>
    <row r="70" spans="2:12" ht="15.6" x14ac:dyDescent="0.3">
      <c r="B70" s="43" t="s">
        <v>298</v>
      </c>
    </row>
    <row r="71" spans="2:12" ht="15.6" x14ac:dyDescent="0.3">
      <c r="B71" s="82" t="s">
        <v>299</v>
      </c>
    </row>
    <row r="72" spans="2:12" ht="15.6" x14ac:dyDescent="0.3">
      <c r="B72" s="82" t="s">
        <v>300</v>
      </c>
    </row>
    <row r="73" spans="2:12" ht="15.6" x14ac:dyDescent="0.3">
      <c r="B73" s="82" t="s">
        <v>301</v>
      </c>
    </row>
    <row r="74" spans="2:12" ht="15.6" x14ac:dyDescent="0.3">
      <c r="B74" s="43"/>
    </row>
    <row r="75" spans="2:12" ht="15.6" x14ac:dyDescent="0.3">
      <c r="B75" s="43" t="s">
        <v>302</v>
      </c>
    </row>
    <row r="78" spans="2:12" ht="18" x14ac:dyDescent="0.35">
      <c r="B78" s="81" t="s">
        <v>303</v>
      </c>
      <c r="C78" s="81"/>
      <c r="D78" s="81"/>
      <c r="E78" s="81"/>
      <c r="F78" s="81"/>
      <c r="G78" s="81"/>
      <c r="H78" s="81"/>
      <c r="I78" s="81"/>
      <c r="J78" s="81"/>
      <c r="K78" s="81"/>
      <c r="L78" s="81"/>
    </row>
    <row r="79" spans="2:12" ht="18" x14ac:dyDescent="0.35">
      <c r="B79" s="81" t="s">
        <v>304</v>
      </c>
      <c r="C79" s="81"/>
      <c r="D79" s="81"/>
      <c r="E79" s="81"/>
      <c r="F79" s="81"/>
      <c r="G79" s="81"/>
      <c r="H79" s="81"/>
      <c r="I79" s="81"/>
      <c r="J79" s="81"/>
      <c r="K79" s="81"/>
      <c r="L79" s="81"/>
    </row>
    <row r="80" spans="2:12" ht="18" x14ac:dyDescent="0.35">
      <c r="B80" s="81" t="s">
        <v>305</v>
      </c>
      <c r="C80" s="81"/>
      <c r="D80" s="81"/>
      <c r="E80" s="81"/>
      <c r="F80" s="81"/>
      <c r="G80" s="81"/>
      <c r="H80" s="81"/>
      <c r="I80" s="81"/>
      <c r="J80" s="81"/>
      <c r="K80" s="81"/>
      <c r="L80" s="81"/>
    </row>
    <row r="82" spans="2:2" ht="15.6" x14ac:dyDescent="0.3">
      <c r="B82" s="43" t="s">
        <v>306</v>
      </c>
    </row>
    <row r="83" spans="2:2" ht="15.6" x14ac:dyDescent="0.3">
      <c r="B83" s="82"/>
    </row>
    <row r="84" spans="2:2" ht="15.6" x14ac:dyDescent="0.3">
      <c r="B84" s="83" t="s">
        <v>307</v>
      </c>
    </row>
    <row r="85" spans="2:2" ht="15.6" x14ac:dyDescent="0.3">
      <c r="B85" s="83" t="s">
        <v>308</v>
      </c>
    </row>
    <row r="86" spans="2:2" ht="15.6" x14ac:dyDescent="0.3">
      <c r="B86" s="83" t="s">
        <v>309</v>
      </c>
    </row>
    <row r="87" spans="2:2" ht="15.6" x14ac:dyDescent="0.3">
      <c r="B87" s="83" t="s">
        <v>310</v>
      </c>
    </row>
    <row r="88" spans="2:2" ht="15.6" x14ac:dyDescent="0.3">
      <c r="B88" s="43"/>
    </row>
    <row r="89" spans="2:2" ht="15.6" x14ac:dyDescent="0.3">
      <c r="B89" s="43" t="s">
        <v>298</v>
      </c>
    </row>
    <row r="90" spans="2:2" ht="15.6" x14ac:dyDescent="0.3">
      <c r="B90" s="82"/>
    </row>
    <row r="91" spans="2:2" ht="15.6" x14ac:dyDescent="0.3">
      <c r="B91" s="82" t="s">
        <v>311</v>
      </c>
    </row>
    <row r="92" spans="2:2" ht="15.6" x14ac:dyDescent="0.3">
      <c r="B92" s="82" t="s">
        <v>312</v>
      </c>
    </row>
    <row r="93" spans="2:2" ht="15.6" x14ac:dyDescent="0.3">
      <c r="B93" s="82" t="s">
        <v>301</v>
      </c>
    </row>
    <row r="94" spans="2:2" ht="15.6" x14ac:dyDescent="0.3">
      <c r="B94" s="43"/>
    </row>
    <row r="95" spans="2:2" ht="15.6" x14ac:dyDescent="0.3">
      <c r="B95" s="43" t="s">
        <v>313</v>
      </c>
    </row>
    <row r="96" spans="2:2" ht="15.6" x14ac:dyDescent="0.3">
      <c r="B96" s="43"/>
    </row>
    <row r="97" spans="2:2" ht="15.6" x14ac:dyDescent="0.3">
      <c r="B97" s="43" t="s">
        <v>314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Dataset</vt:lpstr>
      <vt:lpstr>Planning</vt:lpstr>
      <vt:lpstr>Pivots &amp; KPIs</vt:lpstr>
      <vt:lpstr>IMP. Before Dash View</vt:lpstr>
      <vt:lpstr>Executive's Overview Dash. </vt:lpstr>
      <vt:lpstr>Regional-Performance</vt:lpstr>
      <vt:lpstr>Product-Performance</vt:lpstr>
      <vt:lpstr>Channel-Performace</vt:lpstr>
      <vt:lpstr>Story-Lines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Ankita Sharma</dc:creator>
  <cp:keywords/>
  <dc:description/>
  <cp:lastModifiedBy>Ankita Sharma</cp:lastModifiedBy>
  <cp:revision/>
  <dcterms:created xsi:type="dcterms:W3CDTF">2026-06-12T12:21:16Z</dcterms:created>
  <dcterms:modified xsi:type="dcterms:W3CDTF">2026-09-13T20:07:24Z</dcterms:modified>
  <cp:category/>
  <cp:contentStatus/>
</cp:coreProperties>
</file>